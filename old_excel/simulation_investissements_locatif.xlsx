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ivers\20260224_comparaison_location_achat\old_excel\"/>
    </mc:Choice>
  </mc:AlternateContent>
  <xr:revisionPtr revIDLastSave="0" documentId="13_ncr:1_{AB51CEF3-D1C1-4F0B-BC05-60665BB2333B}" xr6:coauthVersionLast="47" xr6:coauthVersionMax="47" xr10:uidLastSave="{00000000-0000-0000-0000-000000000000}"/>
  <bookViews>
    <workbookView xWindow="-120" yWindow="-120" windowWidth="38640" windowHeight="21120" xr2:uid="{38B5E0D1-A56B-4B8B-80BF-9B74F637DCF9}"/>
  </bookViews>
  <sheets>
    <sheet name="Données_immobilier" sheetId="1" r:id="rId1"/>
    <sheet name="données_NASDAQ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B25" i="1" s="1"/>
  <c r="B26" i="1" s="1"/>
  <c r="B27" i="1" s="1"/>
  <c r="B28" i="1" s="1"/>
  <c r="B29" i="1" s="1"/>
  <c r="B30" i="1" s="1"/>
  <c r="B4" i="1"/>
  <c r="B9" i="1" s="1"/>
  <c r="G23" i="3"/>
  <c r="L25" i="1"/>
  <c r="B12" i="1"/>
  <c r="B11" i="3" s="1"/>
  <c r="B20" i="1"/>
  <c r="B21" i="1" s="1"/>
  <c r="B19" i="3" s="1"/>
  <c r="B2" i="3"/>
  <c r="B3" i="3"/>
  <c r="B7" i="3"/>
  <c r="B8" i="3"/>
  <c r="B10" i="3"/>
  <c r="L26" i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B18" i="1"/>
  <c r="B16" i="3" s="1"/>
  <c r="B19" i="1"/>
  <c r="B17" i="3" s="1"/>
  <c r="B5" i="1"/>
  <c r="B5" i="3" s="1"/>
  <c r="B6" i="1"/>
  <c r="B6" i="3" s="1"/>
  <c r="B17" i="1"/>
  <c r="B15" i="3" s="1"/>
  <c r="C25" i="1"/>
  <c r="B13" i="1" l="1"/>
  <c r="B14" i="1" s="1"/>
  <c r="B15" i="1" s="1"/>
  <c r="B4" i="3"/>
  <c r="G24" i="3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P25" i="1"/>
  <c r="B18" i="3"/>
  <c r="B14" i="3"/>
  <c r="B1" i="3"/>
  <c r="B23" i="3" s="1"/>
  <c r="C23" i="3" s="1"/>
  <c r="C26" i="1"/>
  <c r="D25" i="1"/>
  <c r="E25" i="1" s="1"/>
  <c r="F25" i="1" s="1"/>
  <c r="G25" i="1" s="1"/>
  <c r="B31" i="1"/>
  <c r="H25" i="1"/>
  <c r="I25" i="1" s="1"/>
  <c r="N25" i="1" l="1"/>
  <c r="B12" i="3"/>
  <c r="B24" i="3"/>
  <c r="C24" i="3" s="1"/>
  <c r="B9" i="3"/>
  <c r="D23" i="3"/>
  <c r="E23" i="3" s="1"/>
  <c r="H26" i="1"/>
  <c r="I26" i="1" s="1"/>
  <c r="D26" i="1"/>
  <c r="E26" i="1" s="1"/>
  <c r="F26" i="1" s="1"/>
  <c r="G26" i="1" s="1"/>
  <c r="C27" i="1"/>
  <c r="B32" i="1"/>
  <c r="B25" i="3" l="1"/>
  <c r="B26" i="3" s="1"/>
  <c r="F23" i="3"/>
  <c r="D24" i="3"/>
  <c r="E24" i="3" s="1"/>
  <c r="F24" i="3" s="1"/>
  <c r="H24" i="3" s="1"/>
  <c r="C28" i="1"/>
  <c r="D27" i="1"/>
  <c r="E27" i="1" s="1"/>
  <c r="F27" i="1" s="1"/>
  <c r="G27" i="1" s="1"/>
  <c r="H27" i="1"/>
  <c r="I27" i="1" s="1"/>
  <c r="B33" i="1"/>
  <c r="C25" i="3" l="1"/>
  <c r="D25" i="3" s="1"/>
  <c r="E25" i="3" s="1"/>
  <c r="F25" i="3" s="1"/>
  <c r="H25" i="3" s="1"/>
  <c r="H23" i="3"/>
  <c r="I23" i="3" s="1"/>
  <c r="S25" i="1" s="1"/>
  <c r="J41" i="1"/>
  <c r="J42" i="1"/>
  <c r="J43" i="1"/>
  <c r="J29" i="1"/>
  <c r="J26" i="1"/>
  <c r="J30" i="1"/>
  <c r="J32" i="1"/>
  <c r="J49" i="1"/>
  <c r="J35" i="1"/>
  <c r="J52" i="1"/>
  <c r="J37" i="1"/>
  <c r="J54" i="1"/>
  <c r="J38" i="1"/>
  <c r="J46" i="1"/>
  <c r="J48" i="1"/>
  <c r="J33" i="1"/>
  <c r="J50" i="1"/>
  <c r="J34" i="1"/>
  <c r="J51" i="1"/>
  <c r="J39" i="1"/>
  <c r="J40" i="1"/>
  <c r="J27" i="1"/>
  <c r="J28" i="1"/>
  <c r="J44" i="1"/>
  <c r="J47" i="1"/>
  <c r="J25" i="1"/>
  <c r="J31" i="1"/>
  <c r="J45" i="1"/>
  <c r="J36" i="1"/>
  <c r="J53" i="1"/>
  <c r="B13" i="3"/>
  <c r="N26" i="1"/>
  <c r="C26" i="3"/>
  <c r="B27" i="3"/>
  <c r="D26" i="3"/>
  <c r="E26" i="3" s="1"/>
  <c r="F26" i="3" s="1"/>
  <c r="H26" i="3" s="1"/>
  <c r="H28" i="1"/>
  <c r="I28" i="1" s="1"/>
  <c r="D28" i="1"/>
  <c r="E28" i="1" s="1"/>
  <c r="F28" i="1" s="1"/>
  <c r="G28" i="1" s="1"/>
  <c r="C29" i="1"/>
  <c r="B34" i="1"/>
  <c r="J23" i="3" l="1"/>
  <c r="K26" i="1"/>
  <c r="K25" i="1"/>
  <c r="K27" i="1"/>
  <c r="M27" i="1" s="1"/>
  <c r="I24" i="3"/>
  <c r="I25" i="3" s="1"/>
  <c r="S27" i="1" s="1"/>
  <c r="J24" i="3"/>
  <c r="R25" i="1"/>
  <c r="U25" i="1" s="1"/>
  <c r="C27" i="3"/>
  <c r="D27" i="3" s="1"/>
  <c r="E27" i="3" s="1"/>
  <c r="F27" i="3" s="1"/>
  <c r="H27" i="3" s="1"/>
  <c r="B28" i="3"/>
  <c r="H29" i="1"/>
  <c r="I29" i="1" s="1"/>
  <c r="K28" i="1"/>
  <c r="M28" i="1" s="1"/>
  <c r="C30" i="1"/>
  <c r="D29" i="1"/>
  <c r="N27" i="1"/>
  <c r="B35" i="1"/>
  <c r="M25" i="1" l="1"/>
  <c r="O25" i="1" s="1"/>
  <c r="M26" i="1"/>
  <c r="P26" i="1" s="1"/>
  <c r="P27" i="1" s="1"/>
  <c r="S26" i="1"/>
  <c r="I26" i="3"/>
  <c r="S28" i="1" s="1"/>
  <c r="R26" i="1"/>
  <c r="J25" i="3"/>
  <c r="C28" i="3"/>
  <c r="B29" i="3"/>
  <c r="N28" i="1"/>
  <c r="D30" i="1"/>
  <c r="C31" i="1"/>
  <c r="E29" i="1"/>
  <c r="F29" i="1" s="1"/>
  <c r="G29" i="1" s="1"/>
  <c r="H30" i="1"/>
  <c r="I30" i="1" s="1"/>
  <c r="B36" i="1"/>
  <c r="U26" i="1" l="1"/>
  <c r="O26" i="1"/>
  <c r="Q26" i="1" s="1"/>
  <c r="T26" i="1" s="1"/>
  <c r="Q25" i="1"/>
  <c r="T25" i="1" s="1"/>
  <c r="P28" i="1"/>
  <c r="K29" i="1"/>
  <c r="E30" i="1"/>
  <c r="F30" i="1" s="1"/>
  <c r="G30" i="1" s="1"/>
  <c r="I27" i="3"/>
  <c r="S29" i="1" s="1"/>
  <c r="J26" i="3"/>
  <c r="R27" i="1"/>
  <c r="U27" i="1" s="1"/>
  <c r="C29" i="3"/>
  <c r="D29" i="3" s="1"/>
  <c r="E29" i="3" s="1"/>
  <c r="F29" i="3" s="1"/>
  <c r="H29" i="3" s="1"/>
  <c r="D28" i="3"/>
  <c r="E28" i="3" s="1"/>
  <c r="F28" i="3" s="1"/>
  <c r="H28" i="3" s="1"/>
  <c r="B30" i="3"/>
  <c r="D31" i="1"/>
  <c r="C32" i="1"/>
  <c r="H31" i="1"/>
  <c r="I31" i="1" s="1"/>
  <c r="N29" i="1"/>
  <c r="B37" i="1"/>
  <c r="O27" i="1" l="1"/>
  <c r="Q27" i="1" s="1"/>
  <c r="T27" i="1" s="1"/>
  <c r="M29" i="1"/>
  <c r="P29" i="1" s="1"/>
  <c r="K30" i="1"/>
  <c r="I28" i="3"/>
  <c r="S30" i="1" s="1"/>
  <c r="J27" i="3"/>
  <c r="R28" i="1"/>
  <c r="U28" i="1" s="1"/>
  <c r="C30" i="3"/>
  <c r="B31" i="3"/>
  <c r="N30" i="1"/>
  <c r="D32" i="1"/>
  <c r="C33" i="1"/>
  <c r="H32" i="1"/>
  <c r="I32" i="1" s="1"/>
  <c r="E31" i="1"/>
  <c r="F31" i="1" s="1"/>
  <c r="G31" i="1" s="1"/>
  <c r="B38" i="1"/>
  <c r="O28" i="1" l="1"/>
  <c r="M30" i="1"/>
  <c r="P30" i="1" s="1"/>
  <c r="I29" i="3"/>
  <c r="S31" i="1" s="1"/>
  <c r="K31" i="1"/>
  <c r="E32" i="1"/>
  <c r="F32" i="1" s="1"/>
  <c r="G32" i="1" s="1"/>
  <c r="J28" i="3"/>
  <c r="R29" i="1"/>
  <c r="U29" i="1" s="1"/>
  <c r="C31" i="3"/>
  <c r="D31" i="3" s="1"/>
  <c r="E31" i="3" s="1"/>
  <c r="F31" i="3" s="1"/>
  <c r="H31" i="3" s="1"/>
  <c r="D30" i="3"/>
  <c r="E30" i="3" s="1"/>
  <c r="F30" i="3" s="1"/>
  <c r="H30" i="3" s="1"/>
  <c r="B32" i="3"/>
  <c r="H33" i="1"/>
  <c r="I33" i="1" s="1"/>
  <c r="C34" i="1"/>
  <c r="D33" i="1"/>
  <c r="N31" i="1"/>
  <c r="B39" i="1"/>
  <c r="Q28" i="1" l="1"/>
  <c r="T28" i="1" s="1"/>
  <c r="O29" i="1"/>
  <c r="Q29" i="1" s="1"/>
  <c r="T29" i="1" s="1"/>
  <c r="M31" i="1"/>
  <c r="P31" i="1" s="1"/>
  <c r="I30" i="3"/>
  <c r="S32" i="1" s="1"/>
  <c r="K32" i="1"/>
  <c r="E33" i="1"/>
  <c r="F33" i="1" s="1"/>
  <c r="G33" i="1" s="1"/>
  <c r="J29" i="3"/>
  <c r="R30" i="1"/>
  <c r="U30" i="1" s="1"/>
  <c r="C32" i="3"/>
  <c r="B33" i="3"/>
  <c r="N32" i="1"/>
  <c r="D34" i="1"/>
  <c r="C35" i="1"/>
  <c r="H34" i="1"/>
  <c r="I34" i="1" s="1"/>
  <c r="B40" i="1"/>
  <c r="O30" i="1" l="1"/>
  <c r="Q30" i="1" s="1"/>
  <c r="T30" i="1" s="1"/>
  <c r="M32" i="1"/>
  <c r="P32" i="1" s="1"/>
  <c r="I31" i="3"/>
  <c r="S33" i="1" s="1"/>
  <c r="K33" i="1"/>
  <c r="E34" i="1"/>
  <c r="F34" i="1" s="1"/>
  <c r="G34" i="1" s="1"/>
  <c r="J30" i="3"/>
  <c r="R31" i="1"/>
  <c r="C33" i="3"/>
  <c r="D33" i="3" s="1"/>
  <c r="E33" i="3" s="1"/>
  <c r="F33" i="3" s="1"/>
  <c r="H33" i="3" s="1"/>
  <c r="D32" i="3"/>
  <c r="E32" i="3" s="1"/>
  <c r="F32" i="3" s="1"/>
  <c r="H32" i="3" s="1"/>
  <c r="B34" i="3"/>
  <c r="H35" i="1"/>
  <c r="I35" i="1" s="1"/>
  <c r="D35" i="1"/>
  <c r="C36" i="1"/>
  <c r="N33" i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B41" i="1"/>
  <c r="O31" i="1" l="1"/>
  <c r="Q31" i="1" s="1"/>
  <c r="T31" i="1" s="1"/>
  <c r="M33" i="1"/>
  <c r="P33" i="1" s="1"/>
  <c r="I32" i="3"/>
  <c r="I33" i="3" s="1"/>
  <c r="S35" i="1" s="1"/>
  <c r="K34" i="1"/>
  <c r="E35" i="1"/>
  <c r="F35" i="1" s="1"/>
  <c r="G35" i="1" s="1"/>
  <c r="U31" i="1"/>
  <c r="J31" i="3"/>
  <c r="R32" i="1"/>
  <c r="U32" i="1" s="1"/>
  <c r="C34" i="3"/>
  <c r="B35" i="3"/>
  <c r="D36" i="1"/>
  <c r="C37" i="1"/>
  <c r="H36" i="1"/>
  <c r="I36" i="1" s="1"/>
  <c r="B42" i="1"/>
  <c r="O32" i="1" l="1"/>
  <c r="Q32" i="1" s="1"/>
  <c r="M34" i="1"/>
  <c r="P34" i="1" s="1"/>
  <c r="S34" i="1"/>
  <c r="K35" i="1"/>
  <c r="E36" i="1"/>
  <c r="F36" i="1" s="1"/>
  <c r="G36" i="1" s="1"/>
  <c r="J32" i="3"/>
  <c r="R33" i="1"/>
  <c r="T32" i="1"/>
  <c r="C35" i="3"/>
  <c r="D35" i="3" s="1"/>
  <c r="E35" i="3" s="1"/>
  <c r="F35" i="3" s="1"/>
  <c r="H35" i="3" s="1"/>
  <c r="D34" i="3"/>
  <c r="E34" i="3" s="1"/>
  <c r="F34" i="3" s="1"/>
  <c r="B36" i="3"/>
  <c r="H37" i="1"/>
  <c r="I37" i="1" s="1"/>
  <c r="D37" i="1"/>
  <c r="C38" i="1"/>
  <c r="B43" i="1"/>
  <c r="H34" i="3" l="1"/>
  <c r="I34" i="3" s="1"/>
  <c r="O33" i="1"/>
  <c r="Q33" i="1" s="1"/>
  <c r="T33" i="1" s="1"/>
  <c r="M35" i="1"/>
  <c r="P35" i="1" s="1"/>
  <c r="K36" i="1"/>
  <c r="E37" i="1"/>
  <c r="F37" i="1" s="1"/>
  <c r="G37" i="1" s="1"/>
  <c r="B44" i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U33" i="1"/>
  <c r="J33" i="3"/>
  <c r="R34" i="1"/>
  <c r="U34" i="1" s="1"/>
  <c r="C36" i="3"/>
  <c r="D36" i="3" s="1"/>
  <c r="E36" i="3" s="1"/>
  <c r="F36" i="3" s="1"/>
  <c r="H36" i="3" s="1"/>
  <c r="B37" i="3"/>
  <c r="C39" i="1"/>
  <c r="D38" i="1"/>
  <c r="H38" i="1"/>
  <c r="I38" i="1" s="1"/>
  <c r="I35" i="3" l="1"/>
  <c r="S37" i="1" s="1"/>
  <c r="S36" i="1"/>
  <c r="O34" i="1"/>
  <c r="Q34" i="1" s="1"/>
  <c r="M36" i="1"/>
  <c r="P36" i="1" s="1"/>
  <c r="K37" i="1"/>
  <c r="E38" i="1"/>
  <c r="F38" i="1" s="1"/>
  <c r="G38" i="1" s="1"/>
  <c r="J34" i="3"/>
  <c r="R35" i="1"/>
  <c r="T34" i="1"/>
  <c r="C37" i="3"/>
  <c r="D37" i="3" s="1"/>
  <c r="E37" i="3" s="1"/>
  <c r="F37" i="3" s="1"/>
  <c r="H37" i="3" s="1"/>
  <c r="B38" i="3"/>
  <c r="H39" i="1"/>
  <c r="I39" i="1" s="1"/>
  <c r="C40" i="1"/>
  <c r="D39" i="1"/>
  <c r="I36" i="3" l="1"/>
  <c r="S38" i="1" s="1"/>
  <c r="O35" i="1"/>
  <c r="Q35" i="1" s="1"/>
  <c r="T35" i="1" s="1"/>
  <c r="M37" i="1"/>
  <c r="P37" i="1" s="1"/>
  <c r="K38" i="1"/>
  <c r="E39" i="1"/>
  <c r="F39" i="1" s="1"/>
  <c r="G39" i="1" s="1"/>
  <c r="U35" i="1"/>
  <c r="J35" i="3"/>
  <c r="R36" i="1"/>
  <c r="U36" i="1" s="1"/>
  <c r="C38" i="3"/>
  <c r="D38" i="3" s="1"/>
  <c r="E38" i="3" s="1"/>
  <c r="F38" i="3" s="1"/>
  <c r="B39" i="3"/>
  <c r="D40" i="1"/>
  <c r="C41" i="1"/>
  <c r="H40" i="1"/>
  <c r="I40" i="1" s="1"/>
  <c r="I37" i="3" l="1"/>
  <c r="S39" i="1" s="1"/>
  <c r="H38" i="3"/>
  <c r="O36" i="1"/>
  <c r="Q36" i="1" s="1"/>
  <c r="M38" i="1"/>
  <c r="P38" i="1" s="1"/>
  <c r="O37" i="1"/>
  <c r="Q37" i="1" s="1"/>
  <c r="K39" i="1"/>
  <c r="E40" i="1"/>
  <c r="F40" i="1" s="1"/>
  <c r="G40" i="1" s="1"/>
  <c r="J36" i="3"/>
  <c r="R37" i="1"/>
  <c r="U37" i="1" s="1"/>
  <c r="T36" i="1"/>
  <c r="C39" i="3"/>
  <c r="B40" i="3"/>
  <c r="H41" i="1"/>
  <c r="I41" i="1" s="1"/>
  <c r="D41" i="1"/>
  <c r="C42" i="1"/>
  <c r="I38" i="3" l="1"/>
  <c r="S40" i="1" s="1"/>
  <c r="O38" i="1"/>
  <c r="Q38" i="1" s="1"/>
  <c r="M39" i="1"/>
  <c r="P39" i="1" s="1"/>
  <c r="K40" i="1"/>
  <c r="E41" i="1"/>
  <c r="F41" i="1" s="1"/>
  <c r="G41" i="1" s="1"/>
  <c r="J37" i="3"/>
  <c r="R38" i="1"/>
  <c r="U38" i="1" s="1"/>
  <c r="T37" i="1"/>
  <c r="C40" i="3"/>
  <c r="D39" i="3"/>
  <c r="E39" i="3" s="1"/>
  <c r="F39" i="3" s="1"/>
  <c r="B41" i="3"/>
  <c r="D40" i="3"/>
  <c r="E40" i="3" s="1"/>
  <c r="F40" i="3" s="1"/>
  <c r="H40" i="3" s="1"/>
  <c r="D42" i="1"/>
  <c r="C43" i="1"/>
  <c r="H42" i="1"/>
  <c r="I42" i="1" s="1"/>
  <c r="H39" i="3" l="1"/>
  <c r="I39" i="3" s="1"/>
  <c r="O39" i="1"/>
  <c r="Q39" i="1" s="1"/>
  <c r="M40" i="1"/>
  <c r="P40" i="1" s="1"/>
  <c r="K41" i="1"/>
  <c r="E42" i="1"/>
  <c r="F42" i="1" s="1"/>
  <c r="G42" i="1" s="1"/>
  <c r="J38" i="3"/>
  <c r="R39" i="1"/>
  <c r="U39" i="1" s="1"/>
  <c r="T38" i="1"/>
  <c r="C41" i="3"/>
  <c r="D41" i="3" s="1"/>
  <c r="E41" i="3" s="1"/>
  <c r="F41" i="3" s="1"/>
  <c r="H41" i="3" s="1"/>
  <c r="B42" i="3"/>
  <c r="B43" i="3" s="1"/>
  <c r="H43" i="1"/>
  <c r="I43" i="1" s="1"/>
  <c r="D43" i="1"/>
  <c r="C44" i="1"/>
  <c r="S41" i="1" l="1"/>
  <c r="I40" i="3"/>
  <c r="S42" i="1" s="1"/>
  <c r="O40" i="1"/>
  <c r="Q40" i="1" s="1"/>
  <c r="M41" i="1"/>
  <c r="P41" i="1" s="1"/>
  <c r="C43" i="3"/>
  <c r="D43" i="3" s="1"/>
  <c r="E43" i="3" s="1"/>
  <c r="F43" i="3" s="1"/>
  <c r="H43" i="3" s="1"/>
  <c r="B44" i="3"/>
  <c r="K42" i="1"/>
  <c r="D44" i="1"/>
  <c r="E44" i="1" s="1"/>
  <c r="F44" i="1" s="1"/>
  <c r="G44" i="1" s="1"/>
  <c r="C45" i="1"/>
  <c r="E43" i="1"/>
  <c r="F43" i="1" s="1"/>
  <c r="G43" i="1" s="1"/>
  <c r="J39" i="3"/>
  <c r="R40" i="1"/>
  <c r="U40" i="1" s="1"/>
  <c r="T39" i="1"/>
  <c r="I41" i="3"/>
  <c r="S43" i="1" s="1"/>
  <c r="C42" i="3"/>
  <c r="D42" i="3" s="1"/>
  <c r="E42" i="3" s="1"/>
  <c r="F42" i="3" s="1"/>
  <c r="H42" i="3" s="1"/>
  <c r="H44" i="1"/>
  <c r="I44" i="1" s="1"/>
  <c r="O41" i="1" l="1"/>
  <c r="Q41" i="1" s="1"/>
  <c r="M42" i="1"/>
  <c r="P42" i="1" s="1"/>
  <c r="H45" i="1"/>
  <c r="I45" i="1" s="1"/>
  <c r="B45" i="3"/>
  <c r="C44" i="3"/>
  <c r="D44" i="3" s="1"/>
  <c r="E44" i="3" s="1"/>
  <c r="F44" i="3" s="1"/>
  <c r="H44" i="3" s="1"/>
  <c r="K43" i="1"/>
  <c r="D45" i="1"/>
  <c r="C46" i="1"/>
  <c r="K44" i="1"/>
  <c r="M44" i="1" s="1"/>
  <c r="T40" i="1"/>
  <c r="J40" i="3"/>
  <c r="R41" i="1"/>
  <c r="I42" i="3"/>
  <c r="O42" i="1" l="1"/>
  <c r="Q42" i="1" s="1"/>
  <c r="M43" i="1"/>
  <c r="P43" i="1" s="1"/>
  <c r="P44" i="1" s="1"/>
  <c r="H46" i="1"/>
  <c r="I46" i="1" s="1"/>
  <c r="C45" i="3"/>
  <c r="D45" i="3" s="1"/>
  <c r="E45" i="3" s="1"/>
  <c r="F45" i="3" s="1"/>
  <c r="H45" i="3" s="1"/>
  <c r="B46" i="3"/>
  <c r="C47" i="1"/>
  <c r="D46" i="1"/>
  <c r="E45" i="1"/>
  <c r="F45" i="1" s="1"/>
  <c r="G45" i="1" s="1"/>
  <c r="K45" i="1" s="1"/>
  <c r="M45" i="1" s="1"/>
  <c r="S44" i="1"/>
  <c r="I43" i="3"/>
  <c r="U41" i="1"/>
  <c r="T41" i="1"/>
  <c r="J41" i="3"/>
  <c r="R42" i="1"/>
  <c r="U42" i="1" s="1"/>
  <c r="O43" i="1" l="1"/>
  <c r="O44" i="1" s="1"/>
  <c r="O45" i="1" s="1"/>
  <c r="Q45" i="1" s="1"/>
  <c r="P45" i="1"/>
  <c r="H47" i="1"/>
  <c r="I47" i="1" s="1"/>
  <c r="C46" i="3"/>
  <c r="D46" i="3" s="1"/>
  <c r="E46" i="3" s="1"/>
  <c r="F46" i="3" s="1"/>
  <c r="H46" i="3" s="1"/>
  <c r="B47" i="3"/>
  <c r="E46" i="1"/>
  <c r="F46" i="1" s="1"/>
  <c r="G46" i="1" s="1"/>
  <c r="K46" i="1" s="1"/>
  <c r="M46" i="1" s="1"/>
  <c r="C48" i="1"/>
  <c r="D47" i="1"/>
  <c r="S45" i="1"/>
  <c r="I44" i="3"/>
  <c r="Q44" i="1"/>
  <c r="J42" i="3"/>
  <c r="R43" i="1"/>
  <c r="U43" i="1" s="1"/>
  <c r="T42" i="1"/>
  <c r="Q43" i="1" l="1"/>
  <c r="T43" i="1" s="1"/>
  <c r="P46" i="1"/>
  <c r="H48" i="1"/>
  <c r="I48" i="1" s="1"/>
  <c r="B48" i="3"/>
  <c r="C47" i="3"/>
  <c r="D47" i="3" s="1"/>
  <c r="E47" i="3" s="1"/>
  <c r="F47" i="3" s="1"/>
  <c r="H47" i="3" s="1"/>
  <c r="E47" i="1"/>
  <c r="F47" i="1" s="1"/>
  <c r="G47" i="1" s="1"/>
  <c r="K47" i="1" s="1"/>
  <c r="D48" i="1"/>
  <c r="C49" i="1"/>
  <c r="O46" i="1"/>
  <c r="Q46" i="1" s="1"/>
  <c r="R44" i="1"/>
  <c r="U44" i="1" s="1"/>
  <c r="J43" i="3"/>
  <c r="S46" i="1"/>
  <c r="I45" i="3"/>
  <c r="T44" i="1"/>
  <c r="M47" i="1" l="1"/>
  <c r="P47" i="1" s="1"/>
  <c r="H49" i="1"/>
  <c r="I49" i="1" s="1"/>
  <c r="B49" i="3"/>
  <c r="C48" i="3"/>
  <c r="D48" i="3" s="1"/>
  <c r="E48" i="3" s="1"/>
  <c r="F48" i="3" s="1"/>
  <c r="H48" i="3" s="1"/>
  <c r="C50" i="1"/>
  <c r="D49" i="1"/>
  <c r="E48" i="1"/>
  <c r="F48" i="1" s="1"/>
  <c r="G48" i="1" s="1"/>
  <c r="K48" i="1" s="1"/>
  <c r="J44" i="3"/>
  <c r="R45" i="1"/>
  <c r="I46" i="3"/>
  <c r="S47" i="1"/>
  <c r="O47" i="1" l="1"/>
  <c r="Q47" i="1" s="1"/>
  <c r="M48" i="1"/>
  <c r="P48" i="1" s="1"/>
  <c r="H50" i="1"/>
  <c r="I50" i="1" s="1"/>
  <c r="C49" i="3"/>
  <c r="D49" i="3" s="1"/>
  <c r="E49" i="3" s="1"/>
  <c r="F49" i="3" s="1"/>
  <c r="H49" i="3" s="1"/>
  <c r="B50" i="3"/>
  <c r="E49" i="1"/>
  <c r="F49" i="1" s="1"/>
  <c r="G49" i="1" s="1"/>
  <c r="K49" i="1" s="1"/>
  <c r="C51" i="1"/>
  <c r="D50" i="1"/>
  <c r="E50" i="1" s="1"/>
  <c r="F50" i="1" s="1"/>
  <c r="G50" i="1" s="1"/>
  <c r="U45" i="1"/>
  <c r="T45" i="1"/>
  <c r="R46" i="1"/>
  <c r="J45" i="3"/>
  <c r="I47" i="3"/>
  <c r="S48" i="1"/>
  <c r="O48" i="1" l="1"/>
  <c r="Q48" i="1" s="1"/>
  <c r="M49" i="1"/>
  <c r="P49" i="1" s="1"/>
  <c r="K50" i="1"/>
  <c r="H51" i="1"/>
  <c r="I51" i="1" s="1"/>
  <c r="C50" i="3"/>
  <c r="D50" i="3" s="1"/>
  <c r="E50" i="3" s="1"/>
  <c r="F50" i="3" s="1"/>
  <c r="H50" i="3" s="1"/>
  <c r="B51" i="3"/>
  <c r="D51" i="1"/>
  <c r="E51" i="1" s="1"/>
  <c r="F51" i="1" s="1"/>
  <c r="G51" i="1" s="1"/>
  <c r="C52" i="1"/>
  <c r="J46" i="3"/>
  <c r="R47" i="1"/>
  <c r="T46" i="1"/>
  <c r="U46" i="1"/>
  <c r="S49" i="1"/>
  <c r="I48" i="3"/>
  <c r="O49" i="1" l="1"/>
  <c r="Q49" i="1" s="1"/>
  <c r="M50" i="1"/>
  <c r="P50" i="1" s="1"/>
  <c r="H52" i="1"/>
  <c r="I52" i="1" s="1"/>
  <c r="K51" i="1"/>
  <c r="M51" i="1" s="1"/>
  <c r="B52" i="3"/>
  <c r="C52" i="3" s="1"/>
  <c r="D52" i="3" s="1"/>
  <c r="E52" i="3" s="1"/>
  <c r="F52" i="3" s="1"/>
  <c r="H52" i="3" s="1"/>
  <c r="C51" i="3"/>
  <c r="D51" i="3" s="1"/>
  <c r="E51" i="3" s="1"/>
  <c r="F51" i="3" s="1"/>
  <c r="H51" i="3" s="1"/>
  <c r="C53" i="1"/>
  <c r="D52" i="1"/>
  <c r="E52" i="1" s="1"/>
  <c r="F52" i="1" s="1"/>
  <c r="G52" i="1" s="1"/>
  <c r="T47" i="1"/>
  <c r="U47" i="1"/>
  <c r="J47" i="3"/>
  <c r="R48" i="1"/>
  <c r="S50" i="1"/>
  <c r="I49" i="3"/>
  <c r="O50" i="1" l="1"/>
  <c r="Q50" i="1" s="1"/>
  <c r="P51" i="1"/>
  <c r="H53" i="1"/>
  <c r="I53" i="1" s="1"/>
  <c r="K52" i="1"/>
  <c r="M52" i="1" s="1"/>
  <c r="C54" i="1"/>
  <c r="D54" i="1" s="1"/>
  <c r="E54" i="1" s="1"/>
  <c r="F54" i="1" s="1"/>
  <c r="G54" i="1" s="1"/>
  <c r="D53" i="1"/>
  <c r="E53" i="1" s="1"/>
  <c r="F53" i="1" s="1"/>
  <c r="G53" i="1" s="1"/>
  <c r="T48" i="1"/>
  <c r="U48" i="1"/>
  <c r="R49" i="1"/>
  <c r="J48" i="3"/>
  <c r="S51" i="1"/>
  <c r="I50" i="3"/>
  <c r="O51" i="1" l="1"/>
  <c r="Q51" i="1" s="1"/>
  <c r="P52" i="1"/>
  <c r="H54" i="1"/>
  <c r="K53" i="1"/>
  <c r="M53" i="1" s="1"/>
  <c r="R50" i="1"/>
  <c r="J49" i="3"/>
  <c r="T49" i="1"/>
  <c r="U49" i="1"/>
  <c r="S52" i="1"/>
  <c r="I51" i="3"/>
  <c r="O52" i="1" l="1"/>
  <c r="Q52" i="1" s="1"/>
  <c r="I54" i="1"/>
  <c r="K54" i="1" s="1"/>
  <c r="M54" i="1" s="1"/>
  <c r="P53" i="1"/>
  <c r="J50" i="3"/>
  <c r="R51" i="1"/>
  <c r="U50" i="1"/>
  <c r="T50" i="1"/>
  <c r="S53" i="1"/>
  <c r="I52" i="3"/>
  <c r="S54" i="1" s="1"/>
  <c r="O53" i="1" l="1"/>
  <c r="Q53" i="1" s="1"/>
  <c r="P54" i="1"/>
  <c r="T51" i="1"/>
  <c r="U51" i="1"/>
  <c r="J51" i="3"/>
  <c r="R52" i="1"/>
  <c r="O54" i="1" l="1"/>
  <c r="Q54" i="1" s="1"/>
  <c r="T52" i="1"/>
  <c r="U52" i="1"/>
  <c r="R53" i="1"/>
  <c r="J52" i="3"/>
  <c r="R54" i="1" s="1"/>
  <c r="U54" i="1" l="1"/>
  <c r="T54" i="1"/>
  <c r="T53" i="1"/>
  <c r="U53" i="1"/>
</calcChain>
</file>

<file path=xl/sharedStrings.xml><?xml version="1.0" encoding="utf-8"?>
<sst xmlns="http://schemas.openxmlformats.org/spreadsheetml/2006/main" count="83" uniqueCount="51">
  <si>
    <t>augmentation annuelle moyenne</t>
  </si>
  <si>
    <t>Année</t>
  </si>
  <si>
    <t>Salaire net avant impots annuel à T0</t>
  </si>
  <si>
    <t>Prix d'achat du bien</t>
  </si>
  <si>
    <t>Augmentation moyenne du prix du bien</t>
  </si>
  <si>
    <t>Apport pour le prêt</t>
  </si>
  <si>
    <t>Argent emprunté</t>
  </si>
  <si>
    <t>Taux du prêt avec assurance</t>
  </si>
  <si>
    <t>Durée de l'emprunt</t>
  </si>
  <si>
    <t>mensualités</t>
  </si>
  <si>
    <t>Investissement à T0</t>
  </si>
  <si>
    <t>Coût total de l'emprunt</t>
  </si>
  <si>
    <t>Loyer mensuel</t>
  </si>
  <si>
    <t>Table des impots</t>
  </si>
  <si>
    <t>Taux d'occupation du logement</t>
  </si>
  <si>
    <t>Prix des charges et entretien</t>
  </si>
  <si>
    <t>Inflation annuelle moyenne</t>
  </si>
  <si>
    <t>Evolution annuelle du loyer</t>
  </si>
  <si>
    <t>Argent de départ</t>
  </si>
  <si>
    <t>Reste à payer sur l'emprunt</t>
  </si>
  <si>
    <t>Salaire touché cette année</t>
  </si>
  <si>
    <t>Loyers</t>
  </si>
  <si>
    <t>Revenus après abattement de 10%</t>
  </si>
  <si>
    <t>Revenus net imposables</t>
  </si>
  <si>
    <t>Impots sur le revenu</t>
  </si>
  <si>
    <t>Charges annuelles</t>
  </si>
  <si>
    <t>Valeur actions NASDAQ</t>
  </si>
  <si>
    <t>Valeur logement</t>
  </si>
  <si>
    <t>% de la valeur du logement</t>
  </si>
  <si>
    <t>11 mois dans l'année</t>
  </si>
  <si>
    <t>Mensualités</t>
  </si>
  <si>
    <t>Avec déduction des charges et mensualités</t>
  </si>
  <si>
    <t>Prix du loyer</t>
  </si>
  <si>
    <t>Ce qu'il reste de l'argent pas mis dans le prêt</t>
  </si>
  <si>
    <t>Plus value annuelle moyenne NASDAQ</t>
  </si>
  <si>
    <t>Inflation</t>
  </si>
  <si>
    <t>Investissement locatif</t>
  </si>
  <si>
    <t>En comptant de quoi vivre</t>
  </si>
  <si>
    <t>Coût de la vie / mois</t>
  </si>
  <si>
    <t>Loyer + dépense moyenne par mois cette année (allez on dit que la corée c'est que tous les 3 ans)</t>
  </si>
  <si>
    <t>Plus value si investissement mensuel</t>
  </si>
  <si>
    <t>Avec déduction des impots</t>
  </si>
  <si>
    <t>Full NASDAQ</t>
  </si>
  <si>
    <t>Locatif / inflation</t>
  </si>
  <si>
    <t>NASDAQ / inflation</t>
  </si>
  <si>
    <t>&lt;- croissance annuelle nasdaq - CSG - frais</t>
  </si>
  <si>
    <t>&lt;- Durée de l'emprunt à remplir, en années</t>
  </si>
  <si>
    <t>Argent investi dans le NASDAQ</t>
  </si>
  <si>
    <t>Taux assurance</t>
  </si>
  <si>
    <t>Taux du prêt</t>
  </si>
  <si>
    <t>Montant total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</si>
</sst>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" fontId="0" fillId="0" borderId="0" xfId="1" applyNumberFormat="1" applyFont="1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2" applyFont="1"/>
    <xf numFmtId="9" fontId="0" fillId="0" borderId="1" xfId="2" applyFont="1" applyBorder="1"/>
    <xf numFmtId="0" fontId="0" fillId="0" borderId="1" xfId="0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Locatif / NASDAQ /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Données_immobilier!$Q$24</c:f>
              <c:strCache>
                <c:ptCount val="1"/>
                <c:pt idx="0">
                  <c:v>Investissement locatif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Données_immobilier!$A$25:$A$54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Données_immobilier!$Q$25:$Q$54</c:f>
              <c:numCache>
                <c:formatCode>0</c:formatCode>
                <c:ptCount val="30"/>
                <c:pt idx="0">
                  <c:v>-9.7797921780104371</c:v>
                </c:pt>
                <c:pt idx="1">
                  <c:v>-8.9344064501321778</c:v>
                </c:pt>
                <c:pt idx="2">
                  <c:v>-8.974278463558905</c:v>
                </c:pt>
                <c:pt idx="3">
                  <c:v>-9.9606405060461984</c:v>
                </c:pt>
                <c:pt idx="4">
                  <c:v>-11.958464764690442</c:v>
                </c:pt>
                <c:pt idx="5">
                  <c:v>-15.036683470513555</c:v>
                </c:pt>
                <c:pt idx="6">
                  <c:v>-19.268421844953366</c:v>
                </c:pt>
                <c:pt idx="7">
                  <c:v>-24.731244589644071</c:v>
                </c:pt>
                <c:pt idx="8">
                  <c:v>-31.507416703745164</c:v>
                </c:pt>
                <c:pt idx="9">
                  <c:v>-39.684923993227258</c:v>
                </c:pt>
                <c:pt idx="10">
                  <c:v>-49.139668055150835</c:v>
                </c:pt>
                <c:pt idx="11">
                  <c:v>-59.742930458772449</c:v>
                </c:pt>
                <c:pt idx="12">
                  <c:v>-71.573122076851263</c:v>
                </c:pt>
                <c:pt idx="13">
                  <c:v>-84.713425679383789</c:v>
                </c:pt>
                <c:pt idx="14">
                  <c:v>-99.252076499605735</c:v>
                </c:pt>
                <c:pt idx="15">
                  <c:v>-115.28265910914365</c:v>
                </c:pt>
                <c:pt idx="16">
                  <c:v>-132.90442154668543</c:v>
                </c:pt>
                <c:pt idx="17">
                  <c:v>-152.22260769914865</c:v>
                </c:pt>
                <c:pt idx="18">
                  <c:v>-173.34880899209227</c:v>
                </c:pt>
                <c:pt idx="19">
                  <c:v>-196.40133650722214</c:v>
                </c:pt>
                <c:pt idx="20">
                  <c:v>-221.50561470947858</c:v>
                </c:pt>
                <c:pt idx="21">
                  <c:v>-248.79459803456638</c:v>
                </c:pt>
                <c:pt idx="22">
                  <c:v>-278.40921166011401</c:v>
                </c:pt>
                <c:pt idx="23">
                  <c:v>-310.49881786015209</c:v>
                </c:pt>
                <c:pt idx="24">
                  <c:v>-345.22170942353011</c:v>
                </c:pt>
                <c:pt idx="25">
                  <c:v>-382.74563170249269</c:v>
                </c:pt>
                <c:pt idx="26">
                  <c:v>-423.24833494819131</c:v>
                </c:pt>
                <c:pt idx="27">
                  <c:v>-466.91815868568921</c:v>
                </c:pt>
                <c:pt idx="28">
                  <c:v>-513.95464998234297</c:v>
                </c:pt>
                <c:pt idx="29">
                  <c:v>-564.56921757061798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7-43C8-BE8F-65DB60C88BDE}"/>
            </c:ext>
          </c:extLst>
        </c:ser>
        <c:ser>
          <c:idx val="1"/>
          <c:order val="1"/>
          <c:tx>
            <c:v>NASDAQ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Données_immobilier!$A$25:$A$54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données_NASDAQ!$I$23:$I$52</c:f>
              <c:numCache>
                <c:formatCode>0</c:formatCode>
                <c:ptCount val="30"/>
                <c:pt idx="0">
                  <c:v>9.4114462936004006</c:v>
                </c:pt>
                <c:pt idx="1">
                  <c:v>8.2950136832963501</c:v>
                </c:pt>
                <c:pt idx="2">
                  <c:v>6.610320722025353</c:v>
                </c:pt>
                <c:pt idx="3">
                  <c:v>4.3144549281116742</c:v>
                </c:pt>
                <c:pt idx="4">
                  <c:v>1.3618225756470967</c:v>
                </c:pt>
                <c:pt idx="5">
                  <c:v>-2.2960102741783905</c:v>
                </c:pt>
                <c:pt idx="6">
                  <c:v>-6.7104860085278499</c:v>
                </c:pt>
                <c:pt idx="7">
                  <c:v>-11.936233502254023</c:v>
                </c:pt>
                <c:pt idx="8">
                  <c:v>-18.031256529293941</c:v>
                </c:pt>
                <c:pt idx="9">
                  <c:v>-25.057133147159778</c:v>
                </c:pt>
                <c:pt idx="10">
                  <c:v>-33.079226690329079</c:v>
                </c:pt>
                <c:pt idx="11">
                  <c:v>-42.166909045112625</c:v>
                </c:pt>
                <c:pt idx="12">
                  <c:v>-52.393796917478568</c:v>
                </c:pt>
                <c:pt idx="13">
                  <c:v>-63.838001846460728</c:v>
                </c:pt>
                <c:pt idx="14">
                  <c:v>-76.582394759306709</c:v>
                </c:pt>
                <c:pt idx="15">
                  <c:v>-90.7148859105653</c:v>
                </c:pt>
                <c:pt idx="16">
                  <c:v>-106.32872109601766</c:v>
                </c:pt>
                <c:pt idx="17">
                  <c:v>-123.52279508387755</c:v>
                </c:pt>
                <c:pt idx="18">
                  <c:v>-142.40198326018398</c:v>
                </c:pt>
                <c:pt idx="19">
                  <c:v>-163.07749254295814</c:v>
                </c:pt>
                <c:pt idx="20">
                  <c:v>-185.66723268067707</c:v>
                </c:pt>
                <c:pt idx="21">
                  <c:v>-210.29620911512168</c:v>
                </c:pt>
                <c:pt idx="22">
                  <c:v>-237.09693865689013</c:v>
                </c:pt>
                <c:pt idx="23">
                  <c:v>-266.20988929404473</c:v>
                </c:pt>
                <c:pt idx="24">
                  <c:v>-297.7839455307099</c:v>
                </c:pt>
                <c:pt idx="25">
                  <c:v>-331.97690073320041</c:v>
                </c:pt>
                <c:pt idx="26">
                  <c:v>-368.9559780466883</c:v>
                </c:pt>
                <c:pt idx="27">
                  <c:v>-408.89838153578449</c:v>
                </c:pt>
                <c:pt idx="28">
                  <c:v>-451.99187929800144</c:v>
                </c:pt>
                <c:pt idx="29">
                  <c:v>-498.43542040017729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77-43C8-BE8F-65DB60C88BDE}"/>
            </c:ext>
          </c:extLst>
        </c:ser>
        <c:ser>
          <c:idx val="2"/>
          <c:order val="2"/>
          <c:tx>
            <c:strRef>
              <c:f>Données_immobilier!$R$24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Données_immobilier!$A$25:$A$54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Données_immobilier!$R$25:$R$54</c:f>
              <c:numCache>
                <c:formatCode>0</c:formatCode>
                <c:ptCount val="30"/>
                <c:pt idx="0">
                  <c:v>9.0550034000000004</c:v>
                </c:pt>
                <c:pt idx="1">
                  <c:v>7.6063068680000017</c:v>
                </c:pt>
                <c:pt idx="2">
                  <c:v>5.6341404053600002</c:v>
                </c:pt>
                <c:pt idx="3">
                  <c:v>3.1181446934671988</c:v>
                </c:pt>
                <c:pt idx="4">
                  <c:v>3.7355428936542978E-2</c:v>
                </c:pt>
                <c:pt idx="5">
                  <c:v>-3.6298127320527258</c:v>
                </c:pt>
                <c:pt idx="6">
                  <c:v>-7.9055826296531375</c:v>
                </c:pt>
                <c:pt idx="7">
                  <c:v>-12.81283146606475</c:v>
                </c:pt>
                <c:pt idx="8">
                  <c:v>-18.375108090880964</c:v>
                </c:pt>
                <c:pt idx="9">
                  <c:v>-24.616650716103408</c:v>
                </c:pt>
                <c:pt idx="10">
                  <c:v>-31.562405071098393</c:v>
                </c:pt>
                <c:pt idx="11">
                  <c:v>-39.238043008006741</c:v>
                </c:pt>
                <c:pt idx="12">
                  <c:v>-47.669981568362985</c:v>
                </c:pt>
                <c:pt idx="13">
                  <c:v>-56.885402521930281</c:v>
                </c:pt>
                <c:pt idx="14">
                  <c:v>-66.912272389012927</c:v>
                </c:pt>
                <c:pt idx="15">
                  <c:v>-77.779362957770104</c:v>
                </c:pt>
                <c:pt idx="16">
                  <c:v>-89.516272308321959</c:v>
                </c:pt>
                <c:pt idx="17">
                  <c:v>-102.15344635571277</c:v>
                </c:pt>
                <c:pt idx="18">
                  <c:v>-115.72220092407591</c:v>
                </c:pt>
                <c:pt idx="19">
                  <c:v>-130.25474436463128</c:v>
                </c:pt>
                <c:pt idx="20">
                  <c:v>-145.78420073043924</c:v>
                </c:pt>
                <c:pt idx="21">
                  <c:v>-162.34463352113366</c:v>
                </c:pt>
                <c:pt idx="22">
                  <c:v>-179.97107001116368</c:v>
                </c:pt>
                <c:pt idx="23">
                  <c:v>-198.69952617538644</c:v>
                </c:pt>
                <c:pt idx="24">
                  <c:v>-218.56703222617364</c:v>
                </c:pt>
                <c:pt idx="25">
                  <c:v>-239.61165877652221</c:v>
                </c:pt>
                <c:pt idx="26">
                  <c:v>-261.87254364399422</c:v>
                </c:pt>
                <c:pt idx="27">
                  <c:v>-285.38991931065453</c:v>
                </c:pt>
                <c:pt idx="28">
                  <c:v>-310.20514105452361</c:v>
                </c:pt>
                <c:pt idx="29">
                  <c:v>-336.36071576842323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77-43C8-BE8F-65DB60C8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47912"/>
        <c:axId val="898350792"/>
      </c:scatterChart>
      <c:valAx>
        <c:axId val="89834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350792"/>
        <c:crosses val="autoZero"/>
        <c:crossBetween val="midCat"/>
      </c:valAx>
      <c:valAx>
        <c:axId val="8983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Patrimoine (k</a:t>
                </a:r>
                <a:r>
                  <a:rPr lang="fr-FR" baseline="0"/>
                  <a:t> </a:t>
                </a:r>
                <a:r>
                  <a:rPr lang="fr-FR"/>
                  <a:t>euros)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347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Rapport</a:t>
            </a:r>
            <a:r>
              <a:rPr lang="fr-FR" baseline="0"/>
              <a:t> à l'inflation (de tout le patrimoine investi)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Données_immobilier!$T$24</c:f>
              <c:strCache>
                <c:ptCount val="1"/>
                <c:pt idx="0">
                  <c:v>Locatif / inflation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Données_immobilier!$A$25:$A$54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Données_immobilier!$T$25:$T$54</c:f>
              <c:numCache>
                <c:formatCode>0%</c:formatCode>
                <c:ptCount val="30"/>
                <c:pt idx="0">
                  <c:v>-1.0800429051203269</c:v>
                </c:pt>
                <c:pt idx="1">
                  <c:v>-1.174605048833822</c:v>
                </c:pt>
                <c:pt idx="2">
                  <c:v>-1.5928389812616823</c:v>
                </c:pt>
                <c:pt idx="3">
                  <c:v>-3.1944125386210143</c:v>
                </c:pt>
                <c:pt idx="4">
                  <c:v>-320.12655469716918</c:v>
                </c:pt>
                <c:pt idx="5">
                  <c:v>4.1425507541294104</c:v>
                </c:pt>
                <c:pt idx="6">
                  <c:v>2.4373183796320372</c:v>
                </c:pt>
                <c:pt idx="7">
                  <c:v>1.9301935450525256</c:v>
                </c:pt>
                <c:pt idx="8">
                  <c:v>1.714679257826047</c:v>
                </c:pt>
                <c:pt idx="9">
                  <c:v>1.6121171174300604</c:v>
                </c:pt>
                <c:pt idx="10">
                  <c:v>1.5569050566475333</c:v>
                </c:pt>
                <c:pt idx="11">
                  <c:v>1.5225767107340591</c:v>
                </c:pt>
                <c:pt idx="12">
                  <c:v>1.5014296150756645</c:v>
                </c:pt>
                <c:pt idx="13">
                  <c:v>1.4891944492565616</c:v>
                </c:pt>
                <c:pt idx="14">
                  <c:v>1.4833164822527092</c:v>
                </c:pt>
                <c:pt idx="15">
                  <c:v>1.4821754090700867</c:v>
                </c:pt>
                <c:pt idx="16">
                  <c:v>1.4846956661568878</c:v>
                </c:pt>
                <c:pt idx="17">
                  <c:v>1.4901367807904196</c:v>
                </c:pt>
                <c:pt idx="18">
                  <c:v>1.4979736611285552</c:v>
                </c:pt>
                <c:pt idx="19">
                  <c:v>1.5078248202416493</c:v>
                </c:pt>
                <c:pt idx="20">
                  <c:v>1.5194075462199861</c:v>
                </c:pt>
                <c:pt idx="21">
                  <c:v>1.5325089141439274</c:v>
                </c:pt>
                <c:pt idx="22">
                  <c:v>1.5469664743497062</c:v>
                </c:pt>
                <c:pt idx="23">
                  <c:v>1.5626550492429638</c:v>
                </c:pt>
                <c:pt idx="24">
                  <c:v>1.5794774989957951</c:v>
                </c:pt>
                <c:pt idx="25">
                  <c:v>1.5973581321410857</c:v>
                </c:pt>
                <c:pt idx="26">
                  <c:v>1.6162379188693465</c:v>
                </c:pt>
                <c:pt idx="27">
                  <c:v>1.6360709579844561</c:v>
                </c:pt>
                <c:pt idx="28">
                  <c:v>1.6568218316278873</c:v>
                </c:pt>
                <c:pt idx="29">
                  <c:v>1.67846359905867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FE-4492-A771-50BD34A7234B}"/>
            </c:ext>
          </c:extLst>
        </c:ser>
        <c:ser>
          <c:idx val="1"/>
          <c:order val="1"/>
          <c:tx>
            <c:strRef>
              <c:f>Données_immobilier!$U$24</c:f>
              <c:strCache>
                <c:ptCount val="1"/>
                <c:pt idx="0">
                  <c:v>NASDAQ / inflation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Données_immobilier!$A$25:$A$54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Données_immobilier!$U$25:$U$54</c:f>
              <c:numCache>
                <c:formatCode>0%</c:formatCode>
                <c:ptCount val="30"/>
                <c:pt idx="0">
                  <c:v>1.0393641921327605</c:v>
                </c:pt>
                <c:pt idx="1">
                  <c:v>1.0905441796193842</c:v>
                </c:pt>
                <c:pt idx="2">
                  <c:v>1.1732616240334852</c:v>
                </c:pt>
                <c:pt idx="3">
                  <c:v>1.3836609112947376</c:v>
                </c:pt>
                <c:pt idx="4">
                  <c:v>36.455814172565766</c:v>
                </c:pt>
                <c:pt idx="5">
                  <c:v>0.6325423496104039</c:v>
                </c:pt>
                <c:pt idx="6">
                  <c:v>0.84882877365134524</c:v>
                </c:pt>
                <c:pt idx="7">
                  <c:v>0.93158436789460397</c:v>
                </c:pt>
                <c:pt idx="8">
                  <c:v>0.98128709992418128</c:v>
                </c:pt>
                <c:pt idx="9">
                  <c:v>1.0178936783942025</c:v>
                </c:pt>
                <c:pt idx="10">
                  <c:v>1.0480578592098369</c:v>
                </c:pt>
                <c:pt idx="11">
                  <c:v>1.0746435299158072</c:v>
                </c:pt>
                <c:pt idx="12">
                  <c:v>1.0990941299681689</c:v>
                </c:pt>
                <c:pt idx="13">
                  <c:v>1.1222211501773254</c:v>
                </c:pt>
                <c:pt idx="14">
                  <c:v>1.144519413629743</c:v>
                </c:pt>
                <c:pt idx="15">
                  <c:v>1.1663104769811301</c:v>
                </c:pt>
                <c:pt idx="16">
                  <c:v>1.1878144426053443</c:v>
                </c:pt>
                <c:pt idx="17">
                  <c:v>1.2091887204055132</c:v>
                </c:pt>
                <c:pt idx="18">
                  <c:v>1.2305502498488807</c:v>
                </c:pt>
                <c:pt idx="19">
                  <c:v>1.251988887916772</c:v>
                </c:pt>
                <c:pt idx="20">
                  <c:v>1.2735758178897805</c:v>
                </c:pt>
                <c:pt idx="21">
                  <c:v>1.2953690217776481</c:v>
                </c:pt>
                <c:pt idx="22">
                  <c:v>1.3174169528590507</c:v>
                </c:pt>
                <c:pt idx="23">
                  <c:v>1.3397610674676135</c:v>
                </c:pt>
                <c:pt idx="24">
                  <c:v>1.3624376123777096</c:v>
                </c:pt>
                <c:pt idx="25">
                  <c:v>1.3854789137903518</c:v>
                </c:pt>
                <c:pt idx="26">
                  <c:v>1.4089143249330862</c:v>
                </c:pt>
                <c:pt idx="27">
                  <c:v>1.4327709350192139</c:v>
                </c:pt>
                <c:pt idx="28">
                  <c:v>1.4570741083190382</c:v>
                </c:pt>
                <c:pt idx="29">
                  <c:v>1.4818479002861287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FE-4492-A771-50BD34A7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121344"/>
        <c:axId val="1096120984"/>
      </c:scatterChart>
      <c:valAx>
        <c:axId val="109612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20984"/>
        <c:crosses val="autoZero"/>
        <c:crossBetween val="midCat"/>
      </c:valAx>
      <c:valAx>
        <c:axId val="109612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2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922956</xdr:colOff>
      <xdr:row>58</xdr:row>
      <xdr:rowOff>106405</xdr:rowOff>
    </xdr:from>
    <xdr:to>
      <xdr:col>3</xdr:col>
      <xdr:colOff>2106145</xdr:colOff>
      <xdr:row>85</xdr:row>
      <xdr:rowOff>115930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942F8C-101B-F734-3240-50DAE7419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2221005</xdr:colOff>
      <xdr:row>58</xdr:row>
      <xdr:rowOff>98279</xdr:rowOff>
    </xdr:from>
    <xdr:to>
      <xdr:col>7</xdr:col>
      <xdr:colOff>979291</xdr:colOff>
      <xdr:row>85</xdr:row>
      <xdr:rowOff>83992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D0AEF0-8853-1688-1547-3C03117C1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A5EA-85BA-4A4E-A15E-F7F043CD358F}">
  <dimension ref="A1:U54"/>
  <sheetViews>
    <sheetView tabSelected="1" zoomScaleNormal="100" workbookViewId="0">
      <selection activeCell="B11" sqref="B11"/>
    </sheetView>
  </sheetViews>
  <sheetFormatPr baseColWidth="10" defaultRowHeight="15" x14ac:dyDescent="0.25"/>
  <cols>
    <col min="1" max="1" width="37.85546875" customWidth="1"/>
    <col min="2" max="2" width="32.7109375" customWidth="1"/>
    <col min="3" max="3" width="41.28515625" customWidth="1"/>
    <col min="4" max="8" width="39.42578125" customWidth="1"/>
    <col min="9" max="10" width="44.42578125" customWidth="1"/>
    <col min="11" max="14" width="40.42578125" customWidth="1"/>
    <col min="15" max="16" width="51.140625" customWidth="1"/>
    <col min="17" max="18" width="42.85546875" customWidth="1"/>
    <col min="19" max="19" width="34.140625" customWidth="1"/>
    <col min="20" max="20" width="39.42578125" customWidth="1"/>
    <col min="21" max="21" width="43" customWidth="1"/>
    <col min="22" max="22" width="27.140625" customWidth="1"/>
    <col min="23" max="23" width="32.42578125" customWidth="1"/>
  </cols>
  <sheetData>
    <row r="1" spans="1:8" x14ac:dyDescent="0.25">
      <c r="A1" t="s">
        <v>2</v>
      </c>
      <c r="B1">
        <f>12*2000</f>
        <v>24000</v>
      </c>
      <c r="D1" t="s">
        <v>13</v>
      </c>
    </row>
    <row r="2" spans="1:8" x14ac:dyDescent="0.25">
      <c r="A2" t="s">
        <v>0</v>
      </c>
      <c r="B2">
        <v>1</v>
      </c>
      <c r="D2" s="2">
        <v>11294</v>
      </c>
      <c r="E2" s="1">
        <v>0</v>
      </c>
      <c r="F2" s="1"/>
      <c r="G2" s="1"/>
      <c r="H2" s="1"/>
    </row>
    <row r="3" spans="1:8" ht="15.75" thickBot="1" x14ac:dyDescent="0.3">
      <c r="A3" t="s">
        <v>16</v>
      </c>
      <c r="B3">
        <v>1.02</v>
      </c>
      <c r="D3" s="2">
        <v>28797</v>
      </c>
      <c r="E3" s="1">
        <v>0.11</v>
      </c>
      <c r="F3" s="1"/>
      <c r="G3" s="1"/>
      <c r="H3" s="1"/>
    </row>
    <row r="4" spans="1:8" ht="15.75" thickBot="1" x14ac:dyDescent="0.3">
      <c r="A4" t="s">
        <v>3</v>
      </c>
      <c r="B4" s="9">
        <f>2100*30</f>
        <v>63000</v>
      </c>
      <c r="D4" s="2">
        <v>82341</v>
      </c>
      <c r="E4" s="1">
        <v>0.3</v>
      </c>
      <c r="F4" s="1"/>
      <c r="G4" s="1"/>
      <c r="H4" s="1"/>
    </row>
    <row r="5" spans="1:8" x14ac:dyDescent="0.25">
      <c r="A5" t="s">
        <v>4</v>
      </c>
      <c r="B5">
        <f>1.014</f>
        <v>1.014</v>
      </c>
      <c r="D5" s="2">
        <v>177106</v>
      </c>
      <c r="E5" s="1">
        <v>0.41</v>
      </c>
      <c r="F5" s="1"/>
      <c r="G5" s="1"/>
      <c r="H5" s="1"/>
    </row>
    <row r="6" spans="1:8" ht="15.75" thickBot="1" x14ac:dyDescent="0.3">
      <c r="A6" t="s">
        <v>17</v>
      </c>
      <c r="B6">
        <f>1.014</f>
        <v>1.014</v>
      </c>
      <c r="E6" s="1">
        <v>0.45</v>
      </c>
    </row>
    <row r="7" spans="1:8" ht="15.75" thickBot="1" x14ac:dyDescent="0.3">
      <c r="A7" t="s">
        <v>18</v>
      </c>
      <c r="B7" s="9">
        <v>10000</v>
      </c>
    </row>
    <row r="8" spans="1:8" ht="15.75" thickBot="1" x14ac:dyDescent="0.3">
      <c r="A8" t="s">
        <v>5</v>
      </c>
      <c r="B8" s="9">
        <v>10000</v>
      </c>
    </row>
    <row r="9" spans="1:8" ht="15.75" thickBot="1" x14ac:dyDescent="0.3">
      <c r="A9" t="s">
        <v>6</v>
      </c>
      <c r="B9">
        <f>B4*1.08-B8</f>
        <v>58040</v>
      </c>
    </row>
    <row r="10" spans="1:8" ht="15.75" thickBot="1" x14ac:dyDescent="0.3">
      <c r="A10" t="s">
        <v>48</v>
      </c>
      <c r="B10" s="9">
        <v>1E-3</v>
      </c>
    </row>
    <row r="11" spans="1:8" ht="15.75" thickBot="1" x14ac:dyDescent="0.3">
      <c r="A11" t="s">
        <v>49</v>
      </c>
      <c r="B11" s="9">
        <v>0.05</v>
      </c>
    </row>
    <row r="12" spans="1:8" ht="15.75" thickBot="1" x14ac:dyDescent="0.3">
      <c r="A12" t="s">
        <v>8</v>
      </c>
      <c r="B12" s="3">
        <f>C12-0.0001</f>
        <v>9.9999000000000002</v>
      </c>
      <c r="C12" s="9">
        <v>10</v>
      </c>
      <c r="D12" t="s">
        <v>46</v>
      </c>
    </row>
    <row r="13" spans="1:8" x14ac:dyDescent="0.25">
      <c r="A13" t="s">
        <v>50</v>
      </c>
      <c r="B13" s="3">
        <f>B10*B12*B9</f>
        <v>580.39419600000008</v>
      </c>
    </row>
    <row r="14" spans="1:8" x14ac:dyDescent="0.25">
      <c r="A14" t="s">
        <v>9</v>
      </c>
      <c r="B14">
        <f>B9*(B11/12)/(1-(1+B11/12)^(-12*B12))+B13/B12/12</f>
        <v>620.44566458369889</v>
      </c>
    </row>
    <row r="15" spans="1:8" ht="15.75" thickBot="1" x14ac:dyDescent="0.3">
      <c r="A15" t="s">
        <v>11</v>
      </c>
      <c r="B15">
        <f>B14*12*B12</f>
        <v>74452.735215246357</v>
      </c>
    </row>
    <row r="16" spans="1:8" ht="15.75" thickBot="1" x14ac:dyDescent="0.3">
      <c r="A16" t="s">
        <v>12</v>
      </c>
      <c r="B16" s="9">
        <v>500</v>
      </c>
    </row>
    <row r="17" spans="1:21" x14ac:dyDescent="0.25">
      <c r="A17" t="s">
        <v>14</v>
      </c>
      <c r="B17" s="3">
        <f>11/12</f>
        <v>0.91666666666666663</v>
      </c>
      <c r="C17" t="s">
        <v>29</v>
      </c>
    </row>
    <row r="18" spans="1:21" x14ac:dyDescent="0.25">
      <c r="A18" t="s">
        <v>15</v>
      </c>
      <c r="B18">
        <f>0.01</f>
        <v>0.01</v>
      </c>
      <c r="C18" t="s">
        <v>28</v>
      </c>
    </row>
    <row r="19" spans="1:21" ht="15.75" thickBot="1" x14ac:dyDescent="0.3">
      <c r="A19" t="s">
        <v>10</v>
      </c>
      <c r="B19">
        <f>B7-B8</f>
        <v>0</v>
      </c>
      <c r="C19" t="s">
        <v>33</v>
      </c>
    </row>
    <row r="20" spans="1:21" ht="15.75" thickBot="1" x14ac:dyDescent="0.3">
      <c r="A20" t="s">
        <v>34</v>
      </c>
      <c r="B20">
        <f>1+C20*(1-0.172)*(1-0.003)</f>
        <v>1.0577861200000001</v>
      </c>
      <c r="C20" s="8">
        <v>7.0000000000000007E-2</v>
      </c>
      <c r="D20" t="s">
        <v>45</v>
      </c>
    </row>
    <row r="21" spans="1:21" x14ac:dyDescent="0.25">
      <c r="A21" t="s">
        <v>40</v>
      </c>
      <c r="B21">
        <f>1+(B20-1)/2</f>
        <v>1.0288930600000001</v>
      </c>
    </row>
    <row r="23" spans="1:21" ht="45" x14ac:dyDescent="0.25">
      <c r="L23" s="6" t="s">
        <v>39</v>
      </c>
    </row>
    <row r="24" spans="1:21" x14ac:dyDescent="0.25">
      <c r="A24" t="s">
        <v>1</v>
      </c>
      <c r="B24" t="s">
        <v>20</v>
      </c>
      <c r="C24" t="s">
        <v>32</v>
      </c>
      <c r="D24" t="s">
        <v>21</v>
      </c>
      <c r="E24" t="s">
        <v>23</v>
      </c>
      <c r="F24" t="s">
        <v>22</v>
      </c>
      <c r="G24" t="s">
        <v>24</v>
      </c>
      <c r="H24" t="s">
        <v>27</v>
      </c>
      <c r="I24" t="s">
        <v>25</v>
      </c>
      <c r="J24" t="s">
        <v>30</v>
      </c>
      <c r="K24" t="s">
        <v>31</v>
      </c>
      <c r="L24" t="s">
        <v>38</v>
      </c>
      <c r="M24" t="s">
        <v>37</v>
      </c>
      <c r="N24" t="s">
        <v>19</v>
      </c>
      <c r="O24" t="s">
        <v>26</v>
      </c>
      <c r="P24" t="s">
        <v>47</v>
      </c>
      <c r="Q24" t="s">
        <v>36</v>
      </c>
      <c r="R24" t="s">
        <v>35</v>
      </c>
      <c r="S24" t="s">
        <v>42</v>
      </c>
      <c r="T24" t="s">
        <v>43</v>
      </c>
      <c r="U24" t="s">
        <v>44</v>
      </c>
    </row>
    <row r="25" spans="1:21" x14ac:dyDescent="0.25">
      <c r="A25" s="4">
        <v>1</v>
      </c>
      <c r="B25" s="4">
        <f>B1*$B$2</f>
        <v>24000</v>
      </c>
      <c r="C25" s="4">
        <f>B16</f>
        <v>500</v>
      </c>
      <c r="D25" s="4">
        <f>C25*$B$17*12</f>
        <v>5500</v>
      </c>
      <c r="E25" s="4">
        <f>B25+0.5*D25</f>
        <v>26750</v>
      </c>
      <c r="F25" s="4">
        <f>E25*0.9</f>
        <v>24075</v>
      </c>
      <c r="G25" s="4">
        <f>MAX(F25-$D$5,0)*$E$6+MAX(MIN(F25,$D$5)-$D$4,0)*$E$5+MAX(MIN(F25,$D$4)-$D$3,0)*$E$4+MAX(MIN(F25,$D$3)-$D$2,0)*$E$3</f>
        <v>1405.91</v>
      </c>
      <c r="H25" s="4">
        <f>B4*$B$5</f>
        <v>63882</v>
      </c>
      <c r="I25" s="4">
        <f t="shared" ref="I25:I54" si="0">$B$18*H25+$B$17*12*50*$B$3+H25*0.03</f>
        <v>3116.28</v>
      </c>
      <c r="J25" s="4">
        <f>$B$14*(MIN(A25-$B$12,0)/(A25-$B$12))</f>
        <v>620.44566458369889</v>
      </c>
      <c r="K25" s="4">
        <f>B25+D25-G25-I25-12*J25</f>
        <v>17532.462024995613</v>
      </c>
      <c r="L25" s="4">
        <f>1100+900</f>
        <v>2000</v>
      </c>
      <c r="M25" s="4">
        <f t="shared" ref="M25:M44" si="1">K25-L25*12</f>
        <v>-6467.5379750043867</v>
      </c>
      <c r="N25" s="4">
        <f>B15-12*$B$14</f>
        <v>67007.387240241966</v>
      </c>
      <c r="O25" s="4">
        <f>B19*$B$20+M25*$B$21</f>
        <v>-6654.4049377684678</v>
      </c>
      <c r="P25" s="4">
        <f>B19</f>
        <v>0</v>
      </c>
      <c r="Q25" s="4">
        <f t="shared" ref="Q25:Q44" si="2">(H25+O25-N25)/1000</f>
        <v>-9.7797921780104371</v>
      </c>
      <c r="R25" s="5">
        <f>données_NASDAQ!J23</f>
        <v>9.0550034000000004</v>
      </c>
      <c r="S25" s="4">
        <f>données_NASDAQ!I23</f>
        <v>9.4114462936004006</v>
      </c>
      <c r="T25" s="7">
        <f>Q25/R25</f>
        <v>-1.0800429051203269</v>
      </c>
      <c r="U25" s="7">
        <f>S25/R25</f>
        <v>1.0393641921327605</v>
      </c>
    </row>
    <row r="26" spans="1:21" x14ac:dyDescent="0.25">
      <c r="A26" s="4">
        <v>2</v>
      </c>
      <c r="B26" s="4">
        <f>B25*$B$2</f>
        <v>24000</v>
      </c>
      <c r="C26" s="4">
        <f>C25*$B$6</f>
        <v>507</v>
      </c>
      <c r="D26" s="4">
        <f>C26*$B$17*12</f>
        <v>5577</v>
      </c>
      <c r="E26" s="4">
        <f>B26+0.5*D26</f>
        <v>26788.5</v>
      </c>
      <c r="F26" s="4">
        <f>E26*0.9</f>
        <v>24109.65</v>
      </c>
      <c r="G26" s="4">
        <f>MAX(F26-$D$5,0)*$E$6+MAX(MIN(F26,$D$5)-$D$4,0)*$E$5+MAX(MIN(F26,$D$4)-$D$3,0)*$E$4+MAX(MIN(F26,$D$3)-$D$2,0)*$E$3</f>
        <v>1409.7215000000001</v>
      </c>
      <c r="H26" s="4">
        <f>H25*$B$5</f>
        <v>64776.347999999998</v>
      </c>
      <c r="I26" s="4">
        <f t="shared" si="0"/>
        <v>3152.0539199999998</v>
      </c>
      <c r="J26" s="4">
        <f t="shared" ref="J26:J54" si="3">$B$14*(MIN(A25-$B$12,0)/(A25-$B$12))</f>
        <v>620.44566458369889</v>
      </c>
      <c r="K26" s="4">
        <f>B26+D26-G26-I26-12*J26</f>
        <v>17569.876604995618</v>
      </c>
      <c r="L26" s="4">
        <f>L25*$B$3</f>
        <v>2040</v>
      </c>
      <c r="M26" s="4">
        <f t="shared" si="1"/>
        <v>-6910.1233950043825</v>
      </c>
      <c r="N26" s="4">
        <f>N25-12*$B$14</f>
        <v>59562.039265237581</v>
      </c>
      <c r="O26" s="4">
        <f t="shared" ref="O26:O44" si="4">O25*$B$20+M26*$B$21</f>
        <v>-14148.715184894598</v>
      </c>
      <c r="P26" s="4">
        <f>P25+M26</f>
        <v>-6910.1233950043825</v>
      </c>
      <c r="Q26" s="4">
        <f t="shared" si="2"/>
        <v>-8.9344064501321778</v>
      </c>
      <c r="R26" s="5">
        <f>données_NASDAQ!J24</f>
        <v>7.6063068680000017</v>
      </c>
      <c r="S26" s="4">
        <f>données_NASDAQ!I24</f>
        <v>8.2950136832963501</v>
      </c>
      <c r="T26" s="7">
        <f t="shared" ref="T26:T44" si="5">Q26/R26</f>
        <v>-1.174605048833822</v>
      </c>
      <c r="U26" s="7">
        <f t="shared" ref="U26:U44" si="6">S26/R26</f>
        <v>1.0905441796193842</v>
      </c>
    </row>
    <row r="27" spans="1:21" x14ac:dyDescent="0.25">
      <c r="A27" s="4">
        <v>3</v>
      </c>
      <c r="B27" s="4">
        <f>B26*$B$2</f>
        <v>24000</v>
      </c>
      <c r="C27" s="4">
        <f>C26*$B$6</f>
        <v>514.09799999999996</v>
      </c>
      <c r="D27" s="4">
        <f>C27*$B$17*12</f>
        <v>5655.0779999999995</v>
      </c>
      <c r="E27" s="4">
        <f>B27+0.5*D27</f>
        <v>26827.539000000001</v>
      </c>
      <c r="F27" s="4">
        <f>E27*0.9</f>
        <v>24144.785100000001</v>
      </c>
      <c r="G27" s="4">
        <f>MAX(F27-$D$5,0)*$E$6+MAX(MIN(F27,$D$5)-$D$4,0)*$E$5+MAX(MIN(F27,$D$4)-$D$3,0)*$E$4+MAX(MIN(F27,$D$3)-$D$2,0)*$E$3</f>
        <v>1413.5863610000001</v>
      </c>
      <c r="H27" s="4">
        <f>H26*$B$5</f>
        <v>65683.216872000005</v>
      </c>
      <c r="I27" s="4">
        <f t="shared" si="0"/>
        <v>3188.3286748800001</v>
      </c>
      <c r="J27" s="4">
        <f t="shared" si="3"/>
        <v>620.44566458369889</v>
      </c>
      <c r="K27" s="4">
        <f t="shared" ref="K27:K44" si="7">B27+D27-G27-I27-12*J27</f>
        <v>17607.814989115614</v>
      </c>
      <c r="L27" s="4">
        <f t="shared" ref="L27:L44" si="8">L26*$B$3</f>
        <v>2080.8000000000002</v>
      </c>
      <c r="M27" s="4">
        <f t="shared" si="1"/>
        <v>-7361.7850108843886</v>
      </c>
      <c r="N27" s="4">
        <f>N26-12*$B$14</f>
        <v>52116.691290233197</v>
      </c>
      <c r="O27" s="4">
        <f t="shared" si="4"/>
        <v>-22540.804045325713</v>
      </c>
      <c r="P27" s="4">
        <f t="shared" ref="P27:P54" si="9">P26+M27</f>
        <v>-14271.908405888771</v>
      </c>
      <c r="Q27" s="4">
        <f t="shared" si="2"/>
        <v>-8.974278463558905</v>
      </c>
      <c r="R27" s="5">
        <f>données_NASDAQ!J25</f>
        <v>5.6341404053600002</v>
      </c>
      <c r="S27" s="4">
        <f>données_NASDAQ!I25</f>
        <v>6.610320722025353</v>
      </c>
      <c r="T27" s="7">
        <f t="shared" si="5"/>
        <v>-1.5928389812616823</v>
      </c>
      <c r="U27" s="7">
        <f t="shared" si="6"/>
        <v>1.1732616240334852</v>
      </c>
    </row>
    <row r="28" spans="1:21" x14ac:dyDescent="0.25">
      <c r="A28" s="4">
        <v>4</v>
      </c>
      <c r="B28" s="4">
        <f t="shared" ref="B28:B43" si="10">B27*$B$2</f>
        <v>24000</v>
      </c>
      <c r="C28" s="4">
        <f t="shared" ref="C28:C43" si="11">C27*$B$6</f>
        <v>521.29537199999993</v>
      </c>
      <c r="D28" s="4">
        <f t="shared" ref="D28:D43" si="12">C28*$B$17*12</f>
        <v>5734.2490919999991</v>
      </c>
      <c r="E28" s="4">
        <f t="shared" ref="E28:E43" si="13">B28+0.5*D28</f>
        <v>26867.124545999999</v>
      </c>
      <c r="F28" s="4">
        <f t="shared" ref="F28:F43" si="14">E28*0.9</f>
        <v>24180.412091400001</v>
      </c>
      <c r="G28" s="4">
        <f t="shared" ref="G28:G43" si="15">MAX(F28-$D$5,0)*$E$6+MAX(MIN(F28,$D$5)-$D$4,0)*$E$5+MAX(MIN(F28,$D$4)-$D$3,0)*$E$4+MAX(MIN(F28,$D$3)-$D$2,0)*$E$3</f>
        <v>1417.5053300540001</v>
      </c>
      <c r="H28" s="4">
        <f t="shared" ref="H28:H43" si="16">H27*$B$5</f>
        <v>66602.78190820801</v>
      </c>
      <c r="I28" s="4">
        <f t="shared" si="0"/>
        <v>3225.1112763283199</v>
      </c>
      <c r="J28" s="4">
        <f t="shared" si="3"/>
        <v>620.44566458369889</v>
      </c>
      <c r="K28" s="4">
        <f t="shared" si="7"/>
        <v>17646.284510613295</v>
      </c>
      <c r="L28" s="4">
        <f t="shared" si="8"/>
        <v>2122.4160000000002</v>
      </c>
      <c r="M28" s="4">
        <f t="shared" si="1"/>
        <v>-7822.7074893867066</v>
      </c>
      <c r="N28" s="4">
        <f t="shared" ref="N28:N33" si="17">N27-12*$B$14</f>
        <v>44671.343315228813</v>
      </c>
      <c r="O28" s="4">
        <f t="shared" si="4"/>
        <v>-31892.079099025395</v>
      </c>
      <c r="P28" s="4">
        <f t="shared" si="9"/>
        <v>-22094.615895275478</v>
      </c>
      <c r="Q28" s="4">
        <f t="shared" si="2"/>
        <v>-9.9606405060461984</v>
      </c>
      <c r="R28" s="5">
        <f>données_NASDAQ!J26</f>
        <v>3.1181446934671988</v>
      </c>
      <c r="S28" s="4">
        <f>données_NASDAQ!I26</f>
        <v>4.3144549281116742</v>
      </c>
      <c r="T28" s="7">
        <f t="shared" si="5"/>
        <v>-3.1944125386210143</v>
      </c>
      <c r="U28" s="7">
        <f t="shared" si="6"/>
        <v>1.3836609112947376</v>
      </c>
    </row>
    <row r="29" spans="1:21" x14ac:dyDescent="0.25">
      <c r="A29" s="4">
        <v>5</v>
      </c>
      <c r="B29" s="4">
        <f t="shared" si="10"/>
        <v>24000</v>
      </c>
      <c r="C29" s="4">
        <f t="shared" si="11"/>
        <v>528.59350720799989</v>
      </c>
      <c r="D29" s="4">
        <f t="shared" si="12"/>
        <v>5814.5285792879986</v>
      </c>
      <c r="E29" s="4">
        <f t="shared" si="13"/>
        <v>26907.264289644001</v>
      </c>
      <c r="F29" s="4">
        <f t="shared" si="14"/>
        <v>24216.5378606796</v>
      </c>
      <c r="G29" s="4">
        <f t="shared" si="15"/>
        <v>1421.479164674756</v>
      </c>
      <c r="H29" s="4">
        <f t="shared" si="16"/>
        <v>67535.220854922925</v>
      </c>
      <c r="I29" s="4">
        <f t="shared" si="0"/>
        <v>3262.4088341969173</v>
      </c>
      <c r="J29" s="4">
        <f t="shared" si="3"/>
        <v>620.44566458369889</v>
      </c>
      <c r="K29" s="4">
        <f t="shared" si="7"/>
        <v>17685.292605411938</v>
      </c>
      <c r="L29" s="4">
        <f t="shared" si="8"/>
        <v>2164.8643200000001</v>
      </c>
      <c r="M29" s="4">
        <f t="shared" si="1"/>
        <v>-8293.0792345880618</v>
      </c>
      <c r="N29" s="4">
        <f t="shared" si="17"/>
        <v>37225.995340224428</v>
      </c>
      <c r="O29" s="4">
        <f t="shared" si="4"/>
        <v>-42267.690279388939</v>
      </c>
      <c r="P29" s="4">
        <f t="shared" si="9"/>
        <v>-30387.695129863539</v>
      </c>
      <c r="Q29" s="4">
        <f t="shared" si="2"/>
        <v>-11.958464764690442</v>
      </c>
      <c r="R29" s="5">
        <f>données_NASDAQ!J27</f>
        <v>3.7355428936542978E-2</v>
      </c>
      <c r="S29" s="4">
        <f>données_NASDAQ!I27</f>
        <v>1.3618225756470967</v>
      </c>
      <c r="T29" s="7">
        <f t="shared" si="5"/>
        <v>-320.12655469716918</v>
      </c>
      <c r="U29" s="7">
        <f t="shared" si="6"/>
        <v>36.455814172565766</v>
      </c>
    </row>
    <row r="30" spans="1:21" x14ac:dyDescent="0.25">
      <c r="A30" s="4">
        <v>6</v>
      </c>
      <c r="B30" s="4">
        <f t="shared" si="10"/>
        <v>24000</v>
      </c>
      <c r="C30" s="4">
        <f t="shared" si="11"/>
        <v>535.99381630891185</v>
      </c>
      <c r="D30" s="4">
        <f t="shared" si="12"/>
        <v>5895.9319793980303</v>
      </c>
      <c r="E30" s="4">
        <f t="shared" si="13"/>
        <v>26947.965989699016</v>
      </c>
      <c r="F30" s="4">
        <f t="shared" si="14"/>
        <v>24253.169390729116</v>
      </c>
      <c r="G30" s="4">
        <f t="shared" si="15"/>
        <v>1425.5086329802027</v>
      </c>
      <c r="H30" s="4">
        <f t="shared" si="16"/>
        <v>68480.713946891847</v>
      </c>
      <c r="I30" s="4">
        <f t="shared" si="0"/>
        <v>3300.2285578756741</v>
      </c>
      <c r="J30" s="4">
        <f t="shared" si="3"/>
        <v>620.44566458369889</v>
      </c>
      <c r="K30" s="4">
        <f t="shared" si="7"/>
        <v>17724.84681353777</v>
      </c>
      <c r="L30" s="4">
        <f t="shared" si="8"/>
        <v>2208.1616064</v>
      </c>
      <c r="M30" s="4">
        <f t="shared" si="1"/>
        <v>-8773.09246326223</v>
      </c>
      <c r="N30" s="4">
        <f t="shared" si="17"/>
        <v>29780.647365220044</v>
      </c>
      <c r="O30" s="4">
        <f t="shared" si="4"/>
        <v>-53736.750052185358</v>
      </c>
      <c r="P30" s="4">
        <f t="shared" si="9"/>
        <v>-39160.787593125773</v>
      </c>
      <c r="Q30" s="4">
        <f t="shared" si="2"/>
        <v>-15.036683470513555</v>
      </c>
      <c r="R30" s="5">
        <f>données_NASDAQ!J28</f>
        <v>-3.6298127320527258</v>
      </c>
      <c r="S30" s="4">
        <f>données_NASDAQ!I28</f>
        <v>-2.2960102741783905</v>
      </c>
      <c r="T30" s="7">
        <f t="shared" si="5"/>
        <v>4.1425507541294104</v>
      </c>
      <c r="U30" s="7">
        <f t="shared" si="6"/>
        <v>0.6325423496104039</v>
      </c>
    </row>
    <row r="31" spans="1:21" x14ac:dyDescent="0.25">
      <c r="A31" s="4">
        <v>7</v>
      </c>
      <c r="B31" s="4">
        <f t="shared" si="10"/>
        <v>24000</v>
      </c>
      <c r="C31" s="4">
        <f t="shared" si="11"/>
        <v>543.49772973723657</v>
      </c>
      <c r="D31" s="4">
        <f t="shared" si="12"/>
        <v>5978.4750271096018</v>
      </c>
      <c r="E31" s="4">
        <f t="shared" si="13"/>
        <v>26989.237513554799</v>
      </c>
      <c r="F31" s="4">
        <f t="shared" si="14"/>
        <v>24290.313762199319</v>
      </c>
      <c r="G31" s="4">
        <f t="shared" si="15"/>
        <v>1429.5945138419252</v>
      </c>
      <c r="H31" s="4">
        <f t="shared" si="16"/>
        <v>69439.44394214834</v>
      </c>
      <c r="I31" s="4">
        <f t="shared" si="0"/>
        <v>3338.5777576859336</v>
      </c>
      <c r="J31" s="4">
        <f t="shared" si="3"/>
        <v>620.44566458369889</v>
      </c>
      <c r="K31" s="4">
        <f t="shared" si="7"/>
        <v>17764.954780577355</v>
      </c>
      <c r="L31" s="4">
        <f t="shared" si="8"/>
        <v>2252.3248385279999</v>
      </c>
      <c r="M31" s="4">
        <f t="shared" si="1"/>
        <v>-9262.9432817586421</v>
      </c>
      <c r="N31" s="4">
        <f t="shared" si="17"/>
        <v>22335.29939021566</v>
      </c>
      <c r="O31" s="4">
        <f t="shared" si="4"/>
        <v>-66372.566396886046</v>
      </c>
      <c r="P31" s="4">
        <f t="shared" si="9"/>
        <v>-48423.730874884415</v>
      </c>
      <c r="Q31" s="4">
        <f t="shared" si="2"/>
        <v>-19.268421844953366</v>
      </c>
      <c r="R31" s="5">
        <f>données_NASDAQ!J29</f>
        <v>-7.9055826296531375</v>
      </c>
      <c r="S31" s="4">
        <f>données_NASDAQ!I29</f>
        <v>-6.7104860085278499</v>
      </c>
      <c r="T31" s="7">
        <f t="shared" si="5"/>
        <v>2.4373183796320372</v>
      </c>
      <c r="U31" s="7">
        <f t="shared" si="6"/>
        <v>0.84882877365134524</v>
      </c>
    </row>
    <row r="32" spans="1:21" x14ac:dyDescent="0.25">
      <c r="A32" s="4">
        <v>8</v>
      </c>
      <c r="B32" s="4">
        <f t="shared" si="10"/>
        <v>24000</v>
      </c>
      <c r="C32" s="4">
        <f t="shared" si="11"/>
        <v>551.10669795355784</v>
      </c>
      <c r="D32" s="4">
        <f t="shared" si="12"/>
        <v>6062.173677489136</v>
      </c>
      <c r="E32" s="4">
        <f t="shared" si="13"/>
        <v>27031.086838744566</v>
      </c>
      <c r="F32" s="4">
        <f t="shared" si="14"/>
        <v>24327.97815487011</v>
      </c>
      <c r="G32" s="4">
        <f t="shared" si="15"/>
        <v>1433.737597035712</v>
      </c>
      <c r="H32" s="4">
        <f t="shared" si="16"/>
        <v>70411.596157338412</v>
      </c>
      <c r="I32" s="4">
        <f t="shared" si="0"/>
        <v>3377.4638462935363</v>
      </c>
      <c r="J32" s="4">
        <f t="shared" si="3"/>
        <v>620.44566458369889</v>
      </c>
      <c r="K32" s="4">
        <f t="shared" si="7"/>
        <v>17805.624259155498</v>
      </c>
      <c r="L32" s="4">
        <f t="shared" si="8"/>
        <v>2297.3713352985601</v>
      </c>
      <c r="M32" s="4">
        <f t="shared" si="1"/>
        <v>-9762.8317644272247</v>
      </c>
      <c r="N32" s="4">
        <f t="shared" si="17"/>
        <v>14889.951415211273</v>
      </c>
      <c r="O32" s="4">
        <f t="shared" si="4"/>
        <v>-80252.889331771206</v>
      </c>
      <c r="P32" s="4">
        <f t="shared" si="9"/>
        <v>-58186.56263931164</v>
      </c>
      <c r="Q32" s="4">
        <f t="shared" si="2"/>
        <v>-24.731244589644071</v>
      </c>
      <c r="R32" s="5">
        <f>données_NASDAQ!J30</f>
        <v>-12.81283146606475</v>
      </c>
      <c r="S32" s="4">
        <f>données_NASDAQ!I30</f>
        <v>-11.936233502254023</v>
      </c>
      <c r="T32" s="7">
        <f t="shared" si="5"/>
        <v>1.9301935450525256</v>
      </c>
      <c r="U32" s="7">
        <f t="shared" si="6"/>
        <v>0.93158436789460397</v>
      </c>
    </row>
    <row r="33" spans="1:21" x14ac:dyDescent="0.25">
      <c r="A33" s="4">
        <v>9</v>
      </c>
      <c r="B33" s="4">
        <f t="shared" si="10"/>
        <v>24000</v>
      </c>
      <c r="C33" s="4">
        <f t="shared" si="11"/>
        <v>558.82219172490761</v>
      </c>
      <c r="D33" s="4">
        <f t="shared" si="12"/>
        <v>6147.0441089739834</v>
      </c>
      <c r="E33" s="4">
        <f t="shared" si="13"/>
        <v>27073.522054486992</v>
      </c>
      <c r="F33" s="4">
        <f t="shared" si="14"/>
        <v>24366.169849038291</v>
      </c>
      <c r="G33" s="4">
        <f t="shared" si="15"/>
        <v>1437.9386833942121</v>
      </c>
      <c r="H33" s="4">
        <f t="shared" si="16"/>
        <v>71397.358503541152</v>
      </c>
      <c r="I33" s="4">
        <f t="shared" si="0"/>
        <v>3416.8943401416464</v>
      </c>
      <c r="J33" s="4">
        <f t="shared" si="3"/>
        <v>620.44566458369889</v>
      </c>
      <c r="K33" s="4">
        <f t="shared" si="7"/>
        <v>17846.86311043374</v>
      </c>
      <c r="L33" s="4">
        <f t="shared" si="8"/>
        <v>2343.3187620045314</v>
      </c>
      <c r="M33" s="4">
        <f t="shared" si="1"/>
        <v>-10272.962033620635</v>
      </c>
      <c r="N33" s="4">
        <f t="shared" si="17"/>
        <v>7444.6034402068872</v>
      </c>
      <c r="O33" s="4">
        <f t="shared" si="4"/>
        <v>-95460.171767079431</v>
      </c>
      <c r="P33" s="4">
        <f t="shared" si="9"/>
        <v>-68459.524672932283</v>
      </c>
      <c r="Q33" s="4">
        <f t="shared" si="2"/>
        <v>-31.507416703745164</v>
      </c>
      <c r="R33" s="5">
        <f>données_NASDAQ!J31</f>
        <v>-18.375108090880964</v>
      </c>
      <c r="S33" s="4">
        <f>données_NASDAQ!I31</f>
        <v>-18.031256529293941</v>
      </c>
      <c r="T33" s="7">
        <f t="shared" si="5"/>
        <v>1.714679257826047</v>
      </c>
      <c r="U33" s="7">
        <f t="shared" si="6"/>
        <v>0.98128709992418128</v>
      </c>
    </row>
    <row r="34" spans="1:21" x14ac:dyDescent="0.25">
      <c r="A34" s="4">
        <v>10</v>
      </c>
      <c r="B34" s="4">
        <f t="shared" si="10"/>
        <v>24000</v>
      </c>
      <c r="C34" s="4">
        <f t="shared" si="11"/>
        <v>566.6457024090563</v>
      </c>
      <c r="D34" s="4">
        <f t="shared" si="12"/>
        <v>6233.1027264996192</v>
      </c>
      <c r="E34" s="4">
        <f t="shared" si="13"/>
        <v>27116.551363249811</v>
      </c>
      <c r="F34" s="4">
        <f t="shared" si="14"/>
        <v>24404.89622692483</v>
      </c>
      <c r="G34" s="4">
        <f t="shared" si="15"/>
        <v>1442.1985849617313</v>
      </c>
      <c r="H34" s="4">
        <f t="shared" si="16"/>
        <v>72396.921522590725</v>
      </c>
      <c r="I34" s="4">
        <f t="shared" si="0"/>
        <v>3456.8768609036288</v>
      </c>
      <c r="J34" s="4">
        <f t="shared" si="3"/>
        <v>620.44566458369889</v>
      </c>
      <c r="K34" s="4">
        <f t="shared" si="7"/>
        <v>17888.679305629877</v>
      </c>
      <c r="L34" s="4">
        <f t="shared" si="8"/>
        <v>2390.1851372446222</v>
      </c>
      <c r="M34" s="4">
        <f t="shared" si="1"/>
        <v>-10793.542341305591</v>
      </c>
      <c r="N34" s="4">
        <f>MAX(N33-12*$B$14,0)</f>
        <v>0</v>
      </c>
      <c r="O34" s="4">
        <f t="shared" si="4"/>
        <v>-112081.84551581799</v>
      </c>
      <c r="P34" s="4">
        <f t="shared" si="9"/>
        <v>-79253.067014237866</v>
      </c>
      <c r="Q34" s="4">
        <f t="shared" si="2"/>
        <v>-39.684923993227258</v>
      </c>
      <c r="R34" s="5">
        <f>données_NASDAQ!J32</f>
        <v>-24.616650716103408</v>
      </c>
      <c r="S34" s="4">
        <f>données_NASDAQ!I32</f>
        <v>-25.057133147159778</v>
      </c>
      <c r="T34" s="7">
        <f t="shared" si="5"/>
        <v>1.6121171174300604</v>
      </c>
      <c r="U34" s="7">
        <f t="shared" si="6"/>
        <v>1.0178936783942025</v>
      </c>
    </row>
    <row r="35" spans="1:21" x14ac:dyDescent="0.25">
      <c r="A35" s="4">
        <v>11</v>
      </c>
      <c r="B35" s="4">
        <f t="shared" si="10"/>
        <v>24000</v>
      </c>
      <c r="C35" s="4">
        <f t="shared" si="11"/>
        <v>574.57874224278305</v>
      </c>
      <c r="D35" s="4">
        <f t="shared" si="12"/>
        <v>6320.3661646706132</v>
      </c>
      <c r="E35" s="4">
        <f t="shared" si="13"/>
        <v>27160.183082335308</v>
      </c>
      <c r="F35" s="4">
        <f t="shared" si="14"/>
        <v>24444.164774101777</v>
      </c>
      <c r="G35" s="4">
        <f t="shared" si="15"/>
        <v>1446.5181251511954</v>
      </c>
      <c r="H35" s="4">
        <f t="shared" si="16"/>
        <v>73410.478423907</v>
      </c>
      <c r="I35" s="4">
        <f t="shared" si="0"/>
        <v>3497.41913695628</v>
      </c>
      <c r="J35" s="4">
        <f t="shared" si="3"/>
        <v>0</v>
      </c>
      <c r="K35" s="4">
        <f t="shared" si="7"/>
        <v>25376.428902563137</v>
      </c>
      <c r="L35" s="4">
        <f t="shared" si="8"/>
        <v>2437.9888399895149</v>
      </c>
      <c r="M35" s="4">
        <f t="shared" si="1"/>
        <v>-3879.4371773110397</v>
      </c>
      <c r="N35" s="4">
        <f t="shared" ref="N35:N54" si="18">MAX(N34-12*$B$14,0)</f>
        <v>0</v>
      </c>
      <c r="O35" s="4">
        <f t="shared" si="4"/>
        <v>-122550.14647905783</v>
      </c>
      <c r="P35" s="4">
        <f t="shared" si="9"/>
        <v>-83132.504191548913</v>
      </c>
      <c r="Q35" s="4">
        <f t="shared" si="2"/>
        <v>-49.139668055150835</v>
      </c>
      <c r="R35" s="5">
        <f>données_NASDAQ!J33</f>
        <v>-31.562405071098393</v>
      </c>
      <c r="S35" s="4">
        <f>données_NASDAQ!I33</f>
        <v>-33.079226690329079</v>
      </c>
      <c r="T35" s="7">
        <f t="shared" si="5"/>
        <v>1.5569050566475333</v>
      </c>
      <c r="U35" s="7">
        <f t="shared" si="6"/>
        <v>1.0480578592098369</v>
      </c>
    </row>
    <row r="36" spans="1:21" x14ac:dyDescent="0.25">
      <c r="A36" s="4">
        <v>12</v>
      </c>
      <c r="B36" s="4">
        <f t="shared" si="10"/>
        <v>24000</v>
      </c>
      <c r="C36" s="4">
        <f t="shared" si="11"/>
        <v>582.622844634182</v>
      </c>
      <c r="D36" s="4">
        <f t="shared" si="12"/>
        <v>6408.851290976002</v>
      </c>
      <c r="E36" s="4">
        <f t="shared" si="13"/>
        <v>27204.425645488001</v>
      </c>
      <c r="F36" s="4">
        <f t="shared" si="14"/>
        <v>24483.983080939201</v>
      </c>
      <c r="G36" s="4">
        <f t="shared" si="15"/>
        <v>1450.898138903312</v>
      </c>
      <c r="H36" s="4">
        <f t="shared" si="16"/>
        <v>74438.225121841693</v>
      </c>
      <c r="I36" s="4">
        <f t="shared" si="0"/>
        <v>3538.5290048736679</v>
      </c>
      <c r="J36" s="4">
        <f t="shared" si="3"/>
        <v>0</v>
      </c>
      <c r="K36" s="4">
        <f t="shared" si="7"/>
        <v>25419.424147199024</v>
      </c>
      <c r="L36" s="4">
        <f t="shared" si="8"/>
        <v>2486.7486167893053</v>
      </c>
      <c r="M36" s="4">
        <f t="shared" si="1"/>
        <v>-4421.5592542726372</v>
      </c>
      <c r="N36" s="4">
        <f t="shared" si="18"/>
        <v>0</v>
      </c>
      <c r="O36" s="4">
        <f t="shared" si="4"/>
        <v>-134181.15558061414</v>
      </c>
      <c r="P36" s="4">
        <f t="shared" si="9"/>
        <v>-87554.06344582155</v>
      </c>
      <c r="Q36" s="4">
        <f t="shared" si="2"/>
        <v>-59.742930458772449</v>
      </c>
      <c r="R36" s="5">
        <f>données_NASDAQ!J34</f>
        <v>-39.238043008006741</v>
      </c>
      <c r="S36" s="4">
        <f>données_NASDAQ!I34</f>
        <v>-42.166909045112625</v>
      </c>
      <c r="T36" s="7">
        <f t="shared" si="5"/>
        <v>1.5225767107340591</v>
      </c>
      <c r="U36" s="7">
        <f t="shared" si="6"/>
        <v>1.0746435299158072</v>
      </c>
    </row>
    <row r="37" spans="1:21" x14ac:dyDescent="0.25">
      <c r="A37" s="4">
        <v>13</v>
      </c>
      <c r="B37" s="4">
        <f t="shared" si="10"/>
        <v>24000</v>
      </c>
      <c r="C37" s="4">
        <f t="shared" si="11"/>
        <v>590.77956445906057</v>
      </c>
      <c r="D37" s="4">
        <f t="shared" si="12"/>
        <v>6498.5752090496662</v>
      </c>
      <c r="E37" s="4">
        <f t="shared" si="13"/>
        <v>27249.287604524834</v>
      </c>
      <c r="F37" s="4">
        <f t="shared" si="14"/>
        <v>24524.358844072351</v>
      </c>
      <c r="G37" s="4">
        <f t="shared" si="15"/>
        <v>1455.3394728479586</v>
      </c>
      <c r="H37" s="4">
        <f t="shared" si="16"/>
        <v>75480.360273547471</v>
      </c>
      <c r="I37" s="4">
        <f t="shared" si="0"/>
        <v>3580.2144109418987</v>
      </c>
      <c r="J37" s="4">
        <f t="shared" si="3"/>
        <v>0</v>
      </c>
      <c r="K37" s="4">
        <f t="shared" si="7"/>
        <v>25463.021325259811</v>
      </c>
      <c r="L37" s="4">
        <f t="shared" si="8"/>
        <v>2536.4835891250914</v>
      </c>
      <c r="M37" s="4">
        <f t="shared" si="1"/>
        <v>-4974.7817442412852</v>
      </c>
      <c r="N37" s="4">
        <f t="shared" si="18"/>
        <v>0</v>
      </c>
      <c r="O37" s="4">
        <f t="shared" si="4"/>
        <v>-147053.48235039873</v>
      </c>
      <c r="P37" s="4">
        <f t="shared" si="9"/>
        <v>-92528.845190062828</v>
      </c>
      <c r="Q37" s="4">
        <f t="shared" si="2"/>
        <v>-71.573122076851263</v>
      </c>
      <c r="R37" s="5">
        <f>données_NASDAQ!J35</f>
        <v>-47.669981568362985</v>
      </c>
      <c r="S37" s="4">
        <f>données_NASDAQ!I35</f>
        <v>-52.393796917478568</v>
      </c>
      <c r="T37" s="7">
        <f t="shared" si="5"/>
        <v>1.5014296150756645</v>
      </c>
      <c r="U37" s="7">
        <f t="shared" si="6"/>
        <v>1.0990941299681689</v>
      </c>
    </row>
    <row r="38" spans="1:21" x14ac:dyDescent="0.25">
      <c r="A38" s="4">
        <v>14</v>
      </c>
      <c r="B38" s="4">
        <f t="shared" si="10"/>
        <v>24000</v>
      </c>
      <c r="C38" s="4">
        <f t="shared" si="11"/>
        <v>599.05047836148742</v>
      </c>
      <c r="D38" s="4">
        <f t="shared" si="12"/>
        <v>6589.5552619763603</v>
      </c>
      <c r="E38" s="4">
        <f t="shared" si="13"/>
        <v>27294.777630988181</v>
      </c>
      <c r="F38" s="4">
        <f t="shared" si="14"/>
        <v>24565.299867889364</v>
      </c>
      <c r="G38" s="4">
        <f t="shared" si="15"/>
        <v>1459.84298546783</v>
      </c>
      <c r="H38" s="4">
        <f t="shared" si="16"/>
        <v>76537.085317377132</v>
      </c>
      <c r="I38" s="4">
        <f t="shared" si="0"/>
        <v>3622.4834126950855</v>
      </c>
      <c r="J38" s="4">
        <f t="shared" si="3"/>
        <v>0</v>
      </c>
      <c r="K38" s="4">
        <f t="shared" si="7"/>
        <v>25507.228863813449</v>
      </c>
      <c r="L38" s="4">
        <f t="shared" si="8"/>
        <v>2587.2132609075934</v>
      </c>
      <c r="M38" s="4">
        <f t="shared" si="1"/>
        <v>-5539.330267077672</v>
      </c>
      <c r="N38" s="4">
        <f t="shared" si="18"/>
        <v>0</v>
      </c>
      <c r="O38" s="4">
        <f t="shared" si="4"/>
        <v>-161250.51099676092</v>
      </c>
      <c r="P38" s="4">
        <f t="shared" si="9"/>
        <v>-98068.175457140504</v>
      </c>
      <c r="Q38" s="4">
        <f t="shared" si="2"/>
        <v>-84.713425679383789</v>
      </c>
      <c r="R38" s="5">
        <f>données_NASDAQ!J36</f>
        <v>-56.885402521930281</v>
      </c>
      <c r="S38" s="4">
        <f>données_NASDAQ!I36</f>
        <v>-63.838001846460728</v>
      </c>
      <c r="T38" s="7">
        <f t="shared" si="5"/>
        <v>1.4891944492565616</v>
      </c>
      <c r="U38" s="7">
        <f t="shared" si="6"/>
        <v>1.1222211501773254</v>
      </c>
    </row>
    <row r="39" spans="1:21" x14ac:dyDescent="0.25">
      <c r="A39" s="4">
        <v>15</v>
      </c>
      <c r="B39" s="4">
        <f t="shared" si="10"/>
        <v>24000</v>
      </c>
      <c r="C39" s="4">
        <f t="shared" si="11"/>
        <v>607.43718505854827</v>
      </c>
      <c r="D39" s="4">
        <f t="shared" si="12"/>
        <v>6681.8090356440307</v>
      </c>
      <c r="E39" s="4">
        <f t="shared" si="13"/>
        <v>27340.904517822015</v>
      </c>
      <c r="F39" s="4">
        <f t="shared" si="14"/>
        <v>24606.814066039813</v>
      </c>
      <c r="G39" s="4">
        <f t="shared" si="15"/>
        <v>1464.4095472643794</v>
      </c>
      <c r="H39" s="4">
        <f t="shared" si="16"/>
        <v>77608.604511820406</v>
      </c>
      <c r="I39" s="4">
        <f t="shared" si="0"/>
        <v>3665.3441804728163</v>
      </c>
      <c r="J39" s="4">
        <f t="shared" si="3"/>
        <v>0</v>
      </c>
      <c r="K39" s="4">
        <f t="shared" si="7"/>
        <v>25552.055307906834</v>
      </c>
      <c r="L39" s="4">
        <f t="shared" si="8"/>
        <v>2638.9575261257455</v>
      </c>
      <c r="M39" s="4">
        <f t="shared" si="1"/>
        <v>-6115.435005602114</v>
      </c>
      <c r="N39" s="4">
        <f t="shared" si="18"/>
        <v>0</v>
      </c>
      <c r="O39" s="4">
        <f t="shared" si="4"/>
        <v>-176860.68101142615</v>
      </c>
      <c r="P39" s="4">
        <f t="shared" si="9"/>
        <v>-104183.61046274262</v>
      </c>
      <c r="Q39" s="4">
        <f t="shared" si="2"/>
        <v>-99.252076499605735</v>
      </c>
      <c r="R39" s="5">
        <f>données_NASDAQ!J37</f>
        <v>-66.912272389012927</v>
      </c>
      <c r="S39" s="4">
        <f>données_NASDAQ!I37</f>
        <v>-76.582394759306709</v>
      </c>
      <c r="T39" s="7">
        <f t="shared" si="5"/>
        <v>1.4833164822527092</v>
      </c>
      <c r="U39" s="7">
        <f t="shared" si="6"/>
        <v>1.144519413629743</v>
      </c>
    </row>
    <row r="40" spans="1:21" x14ac:dyDescent="0.25">
      <c r="A40" s="4">
        <v>16</v>
      </c>
      <c r="B40" s="4">
        <f t="shared" si="10"/>
        <v>24000</v>
      </c>
      <c r="C40" s="4">
        <f t="shared" si="11"/>
        <v>615.94130564936791</v>
      </c>
      <c r="D40" s="4">
        <f t="shared" si="12"/>
        <v>6775.3543621430463</v>
      </c>
      <c r="E40" s="4">
        <f t="shared" si="13"/>
        <v>27387.677181071522</v>
      </c>
      <c r="F40" s="4">
        <f t="shared" si="14"/>
        <v>24648.90946296437</v>
      </c>
      <c r="G40" s="4">
        <f t="shared" si="15"/>
        <v>1469.0400409260806</v>
      </c>
      <c r="H40" s="4">
        <f t="shared" si="16"/>
        <v>78695.124974985898</v>
      </c>
      <c r="I40" s="4">
        <f t="shared" si="0"/>
        <v>3708.8049989994361</v>
      </c>
      <c r="J40" s="4">
        <f t="shared" si="3"/>
        <v>0</v>
      </c>
      <c r="K40" s="4">
        <f t="shared" si="7"/>
        <v>25597.509322217531</v>
      </c>
      <c r="L40" s="4">
        <f t="shared" si="8"/>
        <v>2691.7366766482605</v>
      </c>
      <c r="M40" s="4">
        <f t="shared" si="1"/>
        <v>-6703.3307975615935</v>
      </c>
      <c r="N40" s="4">
        <f t="shared" si="18"/>
        <v>0</v>
      </c>
      <c r="O40" s="4">
        <f t="shared" si="4"/>
        <v>-193977.78408412955</v>
      </c>
      <c r="P40" s="4">
        <f t="shared" si="9"/>
        <v>-110886.94126030421</v>
      </c>
      <c r="Q40" s="4">
        <f t="shared" si="2"/>
        <v>-115.28265910914365</v>
      </c>
      <c r="R40" s="5">
        <f>données_NASDAQ!J38</f>
        <v>-77.779362957770104</v>
      </c>
      <c r="S40" s="4">
        <f>données_NASDAQ!I38</f>
        <v>-90.7148859105653</v>
      </c>
      <c r="T40" s="7">
        <f t="shared" si="5"/>
        <v>1.4821754090700867</v>
      </c>
      <c r="U40" s="7">
        <f t="shared" si="6"/>
        <v>1.1663104769811301</v>
      </c>
    </row>
    <row r="41" spans="1:21" x14ac:dyDescent="0.25">
      <c r="A41" s="4">
        <v>17</v>
      </c>
      <c r="B41" s="4">
        <f t="shared" si="10"/>
        <v>24000</v>
      </c>
      <c r="C41" s="4">
        <f t="shared" si="11"/>
        <v>624.56448392845903</v>
      </c>
      <c r="D41" s="4">
        <f t="shared" si="12"/>
        <v>6870.2093232130483</v>
      </c>
      <c r="E41" s="4">
        <f t="shared" si="13"/>
        <v>27435.104661606525</v>
      </c>
      <c r="F41" s="4">
        <f t="shared" si="14"/>
        <v>24691.594195445872</v>
      </c>
      <c r="G41" s="4">
        <f t="shared" si="15"/>
        <v>1473.7353614990459</v>
      </c>
      <c r="H41" s="4">
        <f t="shared" si="16"/>
        <v>79796.856724635698</v>
      </c>
      <c r="I41" s="4">
        <f t="shared" si="0"/>
        <v>3752.874268985428</v>
      </c>
      <c r="J41" s="4">
        <f t="shared" si="3"/>
        <v>0</v>
      </c>
      <c r="K41" s="4">
        <f t="shared" si="7"/>
        <v>25643.599692728574</v>
      </c>
      <c r="L41" s="4">
        <f t="shared" si="8"/>
        <v>2745.5714101812259</v>
      </c>
      <c r="M41" s="4">
        <f t="shared" si="1"/>
        <v>-7303.2572294461352</v>
      </c>
      <c r="N41" s="4">
        <f t="shared" si="18"/>
        <v>0</v>
      </c>
      <c r="O41" s="4">
        <f t="shared" si="4"/>
        <v>-212701.27827132112</v>
      </c>
      <c r="P41" s="4">
        <f t="shared" si="9"/>
        <v>-118190.19848975036</v>
      </c>
      <c r="Q41" s="4">
        <f t="shared" si="2"/>
        <v>-132.90442154668543</v>
      </c>
      <c r="R41" s="5">
        <f>données_NASDAQ!J39</f>
        <v>-89.516272308321959</v>
      </c>
      <c r="S41" s="4">
        <f>données_NASDAQ!I39</f>
        <v>-106.32872109601766</v>
      </c>
      <c r="T41" s="7">
        <f t="shared" si="5"/>
        <v>1.4846956661568878</v>
      </c>
      <c r="U41" s="7">
        <f t="shared" si="6"/>
        <v>1.1878144426053443</v>
      </c>
    </row>
    <row r="42" spans="1:21" x14ac:dyDescent="0.25">
      <c r="A42" s="4">
        <v>18</v>
      </c>
      <c r="B42" s="4">
        <f t="shared" si="10"/>
        <v>24000</v>
      </c>
      <c r="C42" s="4">
        <f t="shared" si="11"/>
        <v>633.30838670345747</v>
      </c>
      <c r="D42" s="4">
        <f t="shared" si="12"/>
        <v>6966.3922537380322</v>
      </c>
      <c r="E42" s="4">
        <f t="shared" si="13"/>
        <v>27483.196126869017</v>
      </c>
      <c r="F42" s="4">
        <f t="shared" si="14"/>
        <v>24734.876514182117</v>
      </c>
      <c r="G42" s="4">
        <f t="shared" si="15"/>
        <v>1478.4964165600329</v>
      </c>
      <c r="H42" s="4">
        <f t="shared" si="16"/>
        <v>80914.012718780592</v>
      </c>
      <c r="I42" s="4">
        <f t="shared" si="0"/>
        <v>3797.5605087512236</v>
      </c>
      <c r="J42" s="4">
        <f t="shared" si="3"/>
        <v>0</v>
      </c>
      <c r="K42" s="4">
        <f t="shared" si="7"/>
        <v>25690.335328426776</v>
      </c>
      <c r="L42" s="4">
        <f t="shared" si="8"/>
        <v>2800.4828383848503</v>
      </c>
      <c r="M42" s="4">
        <f t="shared" si="1"/>
        <v>-7915.458732191426</v>
      </c>
      <c r="N42" s="4">
        <f t="shared" si="18"/>
        <v>0</v>
      </c>
      <c r="O42" s="4">
        <f t="shared" si="4"/>
        <v>-233136.62041792923</v>
      </c>
      <c r="P42" s="4">
        <f t="shared" si="9"/>
        <v>-126105.65722194179</v>
      </c>
      <c r="Q42" s="4">
        <f t="shared" si="2"/>
        <v>-152.22260769914865</v>
      </c>
      <c r="R42" s="5">
        <f>données_NASDAQ!J40</f>
        <v>-102.15344635571277</v>
      </c>
      <c r="S42" s="4">
        <f>données_NASDAQ!I40</f>
        <v>-123.52279508387755</v>
      </c>
      <c r="T42" s="7">
        <f t="shared" si="5"/>
        <v>1.4901367807904196</v>
      </c>
      <c r="U42" s="7">
        <f t="shared" si="6"/>
        <v>1.2091887204055132</v>
      </c>
    </row>
    <row r="43" spans="1:21" x14ac:dyDescent="0.25">
      <c r="A43" s="4">
        <v>19</v>
      </c>
      <c r="B43" s="4">
        <f t="shared" si="10"/>
        <v>24000</v>
      </c>
      <c r="C43" s="4">
        <f t="shared" si="11"/>
        <v>642.17470411730585</v>
      </c>
      <c r="D43" s="4">
        <f t="shared" si="12"/>
        <v>7063.9217452903631</v>
      </c>
      <c r="E43" s="4">
        <f t="shared" si="13"/>
        <v>27531.960872645181</v>
      </c>
      <c r="F43" s="4">
        <f t="shared" si="14"/>
        <v>24778.764785380663</v>
      </c>
      <c r="G43" s="4">
        <f t="shared" si="15"/>
        <v>1483.3241263918728</v>
      </c>
      <c r="H43" s="4">
        <f t="shared" si="16"/>
        <v>82046.808896843519</v>
      </c>
      <c r="I43" s="4">
        <f t="shared" si="0"/>
        <v>3842.8723558737406</v>
      </c>
      <c r="J43" s="4">
        <f t="shared" si="3"/>
        <v>0</v>
      </c>
      <c r="K43" s="4">
        <f t="shared" si="7"/>
        <v>25737.725263024749</v>
      </c>
      <c r="L43" s="4">
        <f t="shared" si="8"/>
        <v>2856.4924951525472</v>
      </c>
      <c r="M43" s="4">
        <f t="shared" si="1"/>
        <v>-8540.184678805821</v>
      </c>
      <c r="N43" s="4">
        <f t="shared" si="18"/>
        <v>0</v>
      </c>
      <c r="O43" s="4">
        <f t="shared" si="4"/>
        <v>-255395.61788893578</v>
      </c>
      <c r="P43" s="4">
        <f t="shared" si="9"/>
        <v>-134645.84190074762</v>
      </c>
      <c r="Q43" s="4">
        <f t="shared" si="2"/>
        <v>-173.34880899209227</v>
      </c>
      <c r="R43" s="5">
        <f>données_NASDAQ!J41</f>
        <v>-115.72220092407591</v>
      </c>
      <c r="S43" s="4">
        <f>données_NASDAQ!I41</f>
        <v>-142.40198326018398</v>
      </c>
      <c r="T43" s="7">
        <f t="shared" si="5"/>
        <v>1.4979736611285552</v>
      </c>
      <c r="U43" s="7">
        <f t="shared" si="6"/>
        <v>1.2305502498488807</v>
      </c>
    </row>
    <row r="44" spans="1:21" x14ac:dyDescent="0.25">
      <c r="A44" s="4">
        <v>20</v>
      </c>
      <c r="B44" s="4">
        <f>B43*$B$2</f>
        <v>24000</v>
      </c>
      <c r="C44" s="4">
        <f>C43*$B$6</f>
        <v>651.16514997494812</v>
      </c>
      <c r="D44" s="4">
        <f>C44*$B$17*12</f>
        <v>7162.8166497244292</v>
      </c>
      <c r="E44" s="4">
        <f>B44+0.5*D44</f>
        <v>27581.408324862216</v>
      </c>
      <c r="F44" s="4">
        <f>E44*0.9</f>
        <v>24823.267492375995</v>
      </c>
      <c r="G44" s="4">
        <f>MAX(F44-$D$5,0)*$E$6+MAX(MIN(F44,$D$5)-$D$4,0)*$E$5+MAX(MIN(F44,$D$4)-$D$3,0)*$E$4+MAX(MIN(F44,$D$3)-$D$2,0)*$E$3</f>
        <v>1488.2194241613595</v>
      </c>
      <c r="H44" s="4">
        <f>H43*$B$5</f>
        <v>83195.464221399336</v>
      </c>
      <c r="I44" s="4">
        <f t="shared" si="0"/>
        <v>3888.8185688559734</v>
      </c>
      <c r="J44" s="4">
        <f t="shared" si="3"/>
        <v>0</v>
      </c>
      <c r="K44" s="4">
        <f t="shared" si="7"/>
        <v>25785.778656707102</v>
      </c>
      <c r="L44" s="4">
        <f t="shared" si="8"/>
        <v>2913.6223450555981</v>
      </c>
      <c r="M44" s="4">
        <f t="shared" si="1"/>
        <v>-9177.6894839600718</v>
      </c>
      <c r="N44" s="4">
        <f t="shared" si="18"/>
        <v>0</v>
      </c>
      <c r="O44" s="4">
        <f t="shared" si="4"/>
        <v>-279596.80072862149</v>
      </c>
      <c r="P44" s="4">
        <f t="shared" si="9"/>
        <v>-143823.53138470769</v>
      </c>
      <c r="Q44" s="4">
        <f t="shared" si="2"/>
        <v>-196.40133650722214</v>
      </c>
      <c r="R44" s="5">
        <f>données_NASDAQ!J42</f>
        <v>-130.25474436463128</v>
      </c>
      <c r="S44" s="4">
        <f>données_NASDAQ!I42</f>
        <v>-163.07749254295814</v>
      </c>
      <c r="T44" s="7">
        <f t="shared" si="5"/>
        <v>1.5078248202416493</v>
      </c>
      <c r="U44" s="7">
        <f t="shared" si="6"/>
        <v>1.251988887916772</v>
      </c>
    </row>
    <row r="45" spans="1:21" x14ac:dyDescent="0.25">
      <c r="A45" s="4">
        <v>21</v>
      </c>
      <c r="B45" s="4">
        <f t="shared" ref="B45:B54" si="19">B44*$B$2</f>
        <v>24000</v>
      </c>
      <c r="C45" s="4">
        <f t="shared" ref="C45:C54" si="20">C44*$B$6</f>
        <v>660.28146207459736</v>
      </c>
      <c r="D45" s="4">
        <f t="shared" ref="D45:D54" si="21">C45*$B$17*12</f>
        <v>7263.0960828205707</v>
      </c>
      <c r="E45" s="4">
        <f t="shared" ref="E45:E54" si="22">B45+0.5*D45</f>
        <v>27631.548041410286</v>
      </c>
      <c r="F45" s="4">
        <f t="shared" ref="F45:F54" si="23">E45*0.9</f>
        <v>24868.393237269258</v>
      </c>
      <c r="G45" s="4">
        <f t="shared" ref="G45:G54" si="24">MAX(F45-$D$5,0)*$E$6+MAX(MIN(F45,$D$5)-$D$4,0)*$E$5+MAX(MIN(F45,$D$4)-$D$3,0)*$E$4+MAX(MIN(F45,$D$3)-$D$2,0)*$E$3</f>
        <v>1493.1832560996183</v>
      </c>
      <c r="H45" s="4">
        <f t="shared" ref="H45:H54" si="25">H44*$B$5</f>
        <v>84360.20072049892</v>
      </c>
      <c r="I45" s="4">
        <f t="shared" si="0"/>
        <v>3935.4080288199566</v>
      </c>
      <c r="J45" s="4">
        <f t="shared" si="3"/>
        <v>0</v>
      </c>
      <c r="K45" s="4">
        <f t="shared" ref="K45:K54" si="26">B45+D45-G45-I45-12*J45</f>
        <v>25834.504797900998</v>
      </c>
      <c r="L45" s="4">
        <f t="shared" ref="L45:L54" si="27">L44*$B$3</f>
        <v>2971.8947919567099</v>
      </c>
      <c r="M45" s="4">
        <f t="shared" ref="M45:M54" si="28">K45-L45*12</f>
        <v>-9828.2327055795176</v>
      </c>
      <c r="N45" s="4">
        <f t="shared" si="18"/>
        <v>0</v>
      </c>
      <c r="O45" s="4">
        <f t="shared" ref="O45:O54" si="29">O44*$B$20+M45*$B$21</f>
        <v>-305865.81542997749</v>
      </c>
      <c r="P45" s="4">
        <f t="shared" si="9"/>
        <v>-153651.76409028721</v>
      </c>
      <c r="Q45" s="4">
        <f t="shared" ref="Q45:Q54" si="30">(H45+O45-N45)/1000</f>
        <v>-221.50561470947858</v>
      </c>
      <c r="R45" s="5">
        <f>données_NASDAQ!J43</f>
        <v>-145.78420073043924</v>
      </c>
      <c r="S45" s="4">
        <f>données_NASDAQ!I43</f>
        <v>-185.66723268067707</v>
      </c>
      <c r="T45" s="7">
        <f t="shared" ref="T45:T54" si="31">Q45/R45</f>
        <v>1.5194075462199861</v>
      </c>
      <c r="U45" s="7">
        <f t="shared" ref="U45:U54" si="32">S45/R45</f>
        <v>1.2735758178897805</v>
      </c>
    </row>
    <row r="46" spans="1:21" x14ac:dyDescent="0.25">
      <c r="A46" s="4">
        <v>22</v>
      </c>
      <c r="B46" s="4">
        <f t="shared" si="19"/>
        <v>24000</v>
      </c>
      <c r="C46" s="4">
        <f t="shared" si="20"/>
        <v>669.52540254364169</v>
      </c>
      <c r="D46" s="4">
        <f t="shared" si="21"/>
        <v>7364.7794279800582</v>
      </c>
      <c r="E46" s="4">
        <f t="shared" si="22"/>
        <v>27682.389713990029</v>
      </c>
      <c r="F46" s="4">
        <f t="shared" si="23"/>
        <v>24914.150742591028</v>
      </c>
      <c r="G46" s="4">
        <f t="shared" si="24"/>
        <v>1498.2165816850131</v>
      </c>
      <c r="H46" s="4">
        <f t="shared" si="25"/>
        <v>85541.243530585911</v>
      </c>
      <c r="I46" s="4">
        <f t="shared" si="0"/>
        <v>3982.6497412234362</v>
      </c>
      <c r="J46" s="4">
        <f t="shared" si="3"/>
        <v>0</v>
      </c>
      <c r="K46" s="4">
        <f t="shared" si="26"/>
        <v>25883.91310507161</v>
      </c>
      <c r="L46" s="4">
        <f t="shared" si="27"/>
        <v>3031.3326877958443</v>
      </c>
      <c r="M46" s="4">
        <f t="shared" si="28"/>
        <v>-10492.079148478522</v>
      </c>
      <c r="N46" s="4">
        <f t="shared" si="18"/>
        <v>0</v>
      </c>
      <c r="O46" s="4">
        <f t="shared" si="29"/>
        <v>-334335.84156515228</v>
      </c>
      <c r="P46" s="4">
        <f t="shared" si="9"/>
        <v>-164143.84323876572</v>
      </c>
      <c r="Q46" s="4">
        <f t="shared" si="30"/>
        <v>-248.79459803456638</v>
      </c>
      <c r="R46" s="5">
        <f>données_NASDAQ!J44</f>
        <v>-162.34463352113366</v>
      </c>
      <c r="S46" s="4">
        <f>données_NASDAQ!I44</f>
        <v>-210.29620911512168</v>
      </c>
      <c r="T46" s="7">
        <f t="shared" si="31"/>
        <v>1.5325089141439274</v>
      </c>
      <c r="U46" s="7">
        <f t="shared" si="32"/>
        <v>1.2953690217776481</v>
      </c>
    </row>
    <row r="47" spans="1:21" x14ac:dyDescent="0.25">
      <c r="A47" s="4">
        <v>23</v>
      </c>
      <c r="B47" s="4">
        <f t="shared" si="19"/>
        <v>24000</v>
      </c>
      <c r="C47" s="4">
        <f t="shared" si="20"/>
        <v>678.8987581792527</v>
      </c>
      <c r="D47" s="4">
        <f t="shared" si="21"/>
        <v>7467.8863399717793</v>
      </c>
      <c r="E47" s="4">
        <f t="shared" si="22"/>
        <v>27733.943169985891</v>
      </c>
      <c r="F47" s="4">
        <f t="shared" si="23"/>
        <v>24960.548852987304</v>
      </c>
      <c r="G47" s="4">
        <f t="shared" si="24"/>
        <v>1503.3203738286034</v>
      </c>
      <c r="H47" s="4">
        <f t="shared" si="25"/>
        <v>86738.82094001412</v>
      </c>
      <c r="I47" s="4">
        <f t="shared" si="0"/>
        <v>4030.552837600565</v>
      </c>
      <c r="J47" s="4">
        <f t="shared" si="3"/>
        <v>0</v>
      </c>
      <c r="K47" s="4">
        <f t="shared" si="26"/>
        <v>25934.013128542614</v>
      </c>
      <c r="L47" s="4">
        <f t="shared" si="27"/>
        <v>3091.9593415517611</v>
      </c>
      <c r="M47" s="4">
        <f t="shared" si="28"/>
        <v>-11169.498970078519</v>
      </c>
      <c r="N47" s="4">
        <f t="shared" si="18"/>
        <v>0</v>
      </c>
      <c r="O47" s="4">
        <f t="shared" si="29"/>
        <v>-365148.03260012809</v>
      </c>
      <c r="P47" s="4">
        <f t="shared" si="9"/>
        <v>-175313.34220884423</v>
      </c>
      <c r="Q47" s="4">
        <f t="shared" si="30"/>
        <v>-278.40921166011401</v>
      </c>
      <c r="R47" s="5">
        <f>données_NASDAQ!J45</f>
        <v>-179.97107001116368</v>
      </c>
      <c r="S47" s="4">
        <f>données_NASDAQ!I45</f>
        <v>-237.09693865689013</v>
      </c>
      <c r="T47" s="7">
        <f t="shared" si="31"/>
        <v>1.5469664743497062</v>
      </c>
      <c r="U47" s="7">
        <f t="shared" si="32"/>
        <v>1.3174169528590507</v>
      </c>
    </row>
    <row r="48" spans="1:21" x14ac:dyDescent="0.25">
      <c r="A48" s="4">
        <v>24</v>
      </c>
      <c r="B48" s="4">
        <f t="shared" si="19"/>
        <v>24000</v>
      </c>
      <c r="C48" s="4">
        <f t="shared" si="20"/>
        <v>688.40334079376225</v>
      </c>
      <c r="D48" s="4">
        <f t="shared" si="21"/>
        <v>7572.4367487313848</v>
      </c>
      <c r="E48" s="4">
        <f t="shared" si="22"/>
        <v>27786.218374365693</v>
      </c>
      <c r="F48" s="4">
        <f t="shared" si="23"/>
        <v>25007.596536929126</v>
      </c>
      <c r="G48" s="4">
        <f t="shared" si="24"/>
        <v>1508.4956190622038</v>
      </c>
      <c r="H48" s="4">
        <f t="shared" si="25"/>
        <v>87953.164433174315</v>
      </c>
      <c r="I48" s="4">
        <f t="shared" si="0"/>
        <v>4079.1265773269729</v>
      </c>
      <c r="J48" s="4">
        <f t="shared" si="3"/>
        <v>0</v>
      </c>
      <c r="K48" s="4">
        <f t="shared" si="26"/>
        <v>25984.81455234221</v>
      </c>
      <c r="L48" s="4">
        <f t="shared" si="27"/>
        <v>3153.7985283827966</v>
      </c>
      <c r="M48" s="4">
        <f t="shared" si="28"/>
        <v>-11860.767788251349</v>
      </c>
      <c r="N48" s="4">
        <f t="shared" si="18"/>
        <v>0</v>
      </c>
      <c r="O48" s="4">
        <f t="shared" si="29"/>
        <v>-398451.98229332641</v>
      </c>
      <c r="P48" s="4">
        <f t="shared" si="9"/>
        <v>-187174.10999709557</v>
      </c>
      <c r="Q48" s="4">
        <f t="shared" si="30"/>
        <v>-310.49881786015209</v>
      </c>
      <c r="R48" s="5">
        <f>données_NASDAQ!J46</f>
        <v>-198.69952617538644</v>
      </c>
      <c r="S48" s="4">
        <f>données_NASDAQ!I46</f>
        <v>-266.20988929404473</v>
      </c>
      <c r="T48" s="7">
        <f t="shared" si="31"/>
        <v>1.5626550492429638</v>
      </c>
      <c r="U48" s="7">
        <f t="shared" si="32"/>
        <v>1.3397610674676135</v>
      </c>
    </row>
    <row r="49" spans="1:21" x14ac:dyDescent="0.25">
      <c r="A49" s="4">
        <v>25</v>
      </c>
      <c r="B49" s="4">
        <f t="shared" si="19"/>
        <v>24000</v>
      </c>
      <c r="C49" s="4">
        <f t="shared" si="20"/>
        <v>698.04098756487497</v>
      </c>
      <c r="D49" s="4">
        <f t="shared" si="21"/>
        <v>7678.4508632136249</v>
      </c>
      <c r="E49" s="4">
        <f t="shared" si="22"/>
        <v>27839.225431606814</v>
      </c>
      <c r="F49" s="4">
        <f t="shared" si="23"/>
        <v>25055.302888446135</v>
      </c>
      <c r="G49" s="4">
        <f t="shared" si="24"/>
        <v>1513.7433177290748</v>
      </c>
      <c r="H49" s="4">
        <f t="shared" si="25"/>
        <v>89184.508735238764</v>
      </c>
      <c r="I49" s="4">
        <f t="shared" si="0"/>
        <v>4128.38034940955</v>
      </c>
      <c r="J49" s="4">
        <f t="shared" si="3"/>
        <v>0</v>
      </c>
      <c r="K49" s="4">
        <f t="shared" si="26"/>
        <v>26036.327196074999</v>
      </c>
      <c r="L49" s="4">
        <f t="shared" si="27"/>
        <v>3216.8744989504526</v>
      </c>
      <c r="M49" s="4">
        <f t="shared" si="28"/>
        <v>-12566.166791330434</v>
      </c>
      <c r="N49" s="4">
        <f t="shared" si="18"/>
        <v>0</v>
      </c>
      <c r="O49" s="4">
        <f t="shared" si="29"/>
        <v>-434406.21815876884</v>
      </c>
      <c r="P49" s="4">
        <f t="shared" si="9"/>
        <v>-199740.27678842601</v>
      </c>
      <c r="Q49" s="4">
        <f t="shared" si="30"/>
        <v>-345.22170942353011</v>
      </c>
      <c r="R49" s="5">
        <f>données_NASDAQ!J47</f>
        <v>-218.56703222617364</v>
      </c>
      <c r="S49" s="4">
        <f>données_NASDAQ!I47</f>
        <v>-297.7839455307099</v>
      </c>
      <c r="T49" s="7">
        <f t="shared" si="31"/>
        <v>1.5794774989957951</v>
      </c>
      <c r="U49" s="7">
        <f t="shared" si="32"/>
        <v>1.3624376123777096</v>
      </c>
    </row>
    <row r="50" spans="1:21" x14ac:dyDescent="0.25">
      <c r="A50" s="4">
        <v>26</v>
      </c>
      <c r="B50" s="4">
        <f t="shared" si="19"/>
        <v>24000</v>
      </c>
      <c r="C50" s="4">
        <f t="shared" si="20"/>
        <v>707.81356139078321</v>
      </c>
      <c r="D50" s="4">
        <f t="shared" si="21"/>
        <v>7785.949175298615</v>
      </c>
      <c r="E50" s="4">
        <f t="shared" si="22"/>
        <v>27892.974587649307</v>
      </c>
      <c r="F50" s="4">
        <f t="shared" si="23"/>
        <v>25103.677128884377</v>
      </c>
      <c r="G50" s="4">
        <f t="shared" si="24"/>
        <v>1519.0644841772814</v>
      </c>
      <c r="H50" s="4">
        <f t="shared" si="25"/>
        <v>90433.091857532112</v>
      </c>
      <c r="I50" s="4">
        <f t="shared" si="0"/>
        <v>4178.323674301284</v>
      </c>
      <c r="J50" s="4">
        <f t="shared" si="3"/>
        <v>0</v>
      </c>
      <c r="K50" s="4">
        <f t="shared" si="26"/>
        <v>26088.561016820051</v>
      </c>
      <c r="L50" s="4">
        <f t="shared" si="27"/>
        <v>3281.2119889294618</v>
      </c>
      <c r="M50" s="4">
        <f t="shared" si="28"/>
        <v>-13285.982850333487</v>
      </c>
      <c r="N50" s="4">
        <f t="shared" si="18"/>
        <v>0</v>
      </c>
      <c r="O50" s="4">
        <f t="shared" si="29"/>
        <v>-473178.72356002481</v>
      </c>
      <c r="P50" s="4">
        <f t="shared" si="9"/>
        <v>-213026.25963875948</v>
      </c>
      <c r="Q50" s="4">
        <f t="shared" si="30"/>
        <v>-382.74563170249269</v>
      </c>
      <c r="R50" s="5">
        <f>données_NASDAQ!J48</f>
        <v>-239.61165877652221</v>
      </c>
      <c r="S50" s="4">
        <f>données_NASDAQ!I48</f>
        <v>-331.97690073320041</v>
      </c>
      <c r="T50" s="7">
        <f t="shared" si="31"/>
        <v>1.5973581321410857</v>
      </c>
      <c r="U50" s="7">
        <f t="shared" si="32"/>
        <v>1.3854789137903518</v>
      </c>
    </row>
    <row r="51" spans="1:21" x14ac:dyDescent="0.25">
      <c r="A51" s="4">
        <v>27</v>
      </c>
      <c r="B51" s="4">
        <f t="shared" si="19"/>
        <v>24000</v>
      </c>
      <c r="C51" s="4">
        <f t="shared" si="20"/>
        <v>717.72295125025414</v>
      </c>
      <c r="D51" s="4">
        <f t="shared" si="21"/>
        <v>7894.9524637527948</v>
      </c>
      <c r="E51" s="4">
        <f t="shared" si="22"/>
        <v>27947.476231876397</v>
      </c>
      <c r="F51" s="4">
        <f t="shared" si="23"/>
        <v>25152.728608688758</v>
      </c>
      <c r="G51" s="4">
        <f t="shared" si="24"/>
        <v>1524.4601469557633</v>
      </c>
      <c r="H51" s="4">
        <f t="shared" si="25"/>
        <v>91699.155143537559</v>
      </c>
      <c r="I51" s="4">
        <f t="shared" si="0"/>
        <v>4228.9662057415026</v>
      </c>
      <c r="J51" s="4">
        <f t="shared" si="3"/>
        <v>0</v>
      </c>
      <c r="K51" s="4">
        <f t="shared" si="26"/>
        <v>26141.526111055529</v>
      </c>
      <c r="L51" s="4">
        <f t="shared" si="27"/>
        <v>3346.8362287080508</v>
      </c>
      <c r="M51" s="4">
        <f t="shared" si="28"/>
        <v>-14020.508633441081</v>
      </c>
      <c r="N51" s="4">
        <f t="shared" si="18"/>
        <v>0</v>
      </c>
      <c r="O51" s="4">
        <f t="shared" si="29"/>
        <v>-514947.49009172886</v>
      </c>
      <c r="P51" s="4">
        <f t="shared" si="9"/>
        <v>-227046.76827220057</v>
      </c>
      <c r="Q51" s="4">
        <f t="shared" si="30"/>
        <v>-423.24833494819131</v>
      </c>
      <c r="R51" s="5">
        <f>données_NASDAQ!J49</f>
        <v>-261.87254364399422</v>
      </c>
      <c r="S51" s="4">
        <f>données_NASDAQ!I49</f>
        <v>-368.9559780466883</v>
      </c>
      <c r="T51" s="7">
        <f t="shared" si="31"/>
        <v>1.6162379188693465</v>
      </c>
      <c r="U51" s="7">
        <f t="shared" si="32"/>
        <v>1.4089143249330862</v>
      </c>
    </row>
    <row r="52" spans="1:21" x14ac:dyDescent="0.25">
      <c r="A52" s="4">
        <v>28</v>
      </c>
      <c r="B52" s="4">
        <f t="shared" si="19"/>
        <v>24000</v>
      </c>
      <c r="C52" s="4">
        <f t="shared" si="20"/>
        <v>727.77107256775776</v>
      </c>
      <c r="D52" s="4">
        <f t="shared" si="21"/>
        <v>8005.4817982453351</v>
      </c>
      <c r="E52" s="4">
        <f t="shared" si="22"/>
        <v>28002.740899122669</v>
      </c>
      <c r="F52" s="4">
        <f t="shared" si="23"/>
        <v>25202.466809210404</v>
      </c>
      <c r="G52" s="4">
        <f t="shared" si="24"/>
        <v>1529.9313490131444</v>
      </c>
      <c r="H52" s="4">
        <f t="shared" si="25"/>
        <v>92982.943315547091</v>
      </c>
      <c r="I52" s="4">
        <f t="shared" si="0"/>
        <v>4280.3177326218838</v>
      </c>
      <c r="J52" s="4">
        <f t="shared" si="3"/>
        <v>0</v>
      </c>
      <c r="K52" s="4">
        <f t="shared" si="26"/>
        <v>26195.23271661031</v>
      </c>
      <c r="L52" s="4">
        <f t="shared" si="27"/>
        <v>3413.7729532822118</v>
      </c>
      <c r="M52" s="4">
        <f t="shared" si="28"/>
        <v>-14770.04272277623</v>
      </c>
      <c r="N52" s="4">
        <f t="shared" si="18"/>
        <v>0</v>
      </c>
      <c r="O52" s="4">
        <f t="shared" si="29"/>
        <v>-559901.10200123629</v>
      </c>
      <c r="P52" s="4">
        <f t="shared" si="9"/>
        <v>-241816.81099497681</v>
      </c>
      <c r="Q52" s="4">
        <f t="shared" si="30"/>
        <v>-466.91815868568921</v>
      </c>
      <c r="R52" s="5">
        <f>données_NASDAQ!J50</f>
        <v>-285.38991931065453</v>
      </c>
      <c r="S52" s="4">
        <f>données_NASDAQ!I50</f>
        <v>-408.89838153578449</v>
      </c>
      <c r="T52" s="7">
        <f t="shared" si="31"/>
        <v>1.6360709579844561</v>
      </c>
      <c r="U52" s="7">
        <f t="shared" si="32"/>
        <v>1.4327709350192139</v>
      </c>
    </row>
    <row r="53" spans="1:21" x14ac:dyDescent="0.25">
      <c r="A53" s="4">
        <v>29</v>
      </c>
      <c r="B53" s="4">
        <f t="shared" si="19"/>
        <v>24000</v>
      </c>
      <c r="C53" s="4">
        <f t="shared" si="20"/>
        <v>737.95986758370634</v>
      </c>
      <c r="D53" s="4">
        <f t="shared" si="21"/>
        <v>8117.5585434207696</v>
      </c>
      <c r="E53" s="4">
        <f t="shared" si="22"/>
        <v>28058.779271710384</v>
      </c>
      <c r="F53" s="4">
        <f t="shared" si="23"/>
        <v>25252.901344539347</v>
      </c>
      <c r="G53" s="4">
        <f t="shared" si="24"/>
        <v>1535.4791478993282</v>
      </c>
      <c r="H53" s="4">
        <f t="shared" si="25"/>
        <v>94284.704521964755</v>
      </c>
      <c r="I53" s="4">
        <f t="shared" si="0"/>
        <v>4332.38818087859</v>
      </c>
      <c r="J53" s="4">
        <f t="shared" si="3"/>
        <v>0</v>
      </c>
      <c r="K53" s="4">
        <f t="shared" si="26"/>
        <v>26249.691214642851</v>
      </c>
      <c r="L53" s="4">
        <f t="shared" si="27"/>
        <v>3482.0484123478559</v>
      </c>
      <c r="M53" s="4">
        <f t="shared" si="28"/>
        <v>-15534.889733531418</v>
      </c>
      <c r="N53" s="4">
        <f t="shared" si="18"/>
        <v>0</v>
      </c>
      <c r="O53" s="4">
        <f t="shared" si="29"/>
        <v>-608239.35450430773</v>
      </c>
      <c r="P53" s="4">
        <f t="shared" si="9"/>
        <v>-257351.70072850824</v>
      </c>
      <c r="Q53" s="4">
        <f t="shared" si="30"/>
        <v>-513.95464998234297</v>
      </c>
      <c r="R53" s="5">
        <f>données_NASDAQ!J51</f>
        <v>-310.20514105452361</v>
      </c>
      <c r="S53" s="4">
        <f>données_NASDAQ!I51</f>
        <v>-451.99187929800144</v>
      </c>
      <c r="T53" s="7">
        <f t="shared" si="31"/>
        <v>1.6568218316278873</v>
      </c>
      <c r="U53" s="7">
        <f t="shared" si="32"/>
        <v>1.4570741083190382</v>
      </c>
    </row>
    <row r="54" spans="1:21" x14ac:dyDescent="0.25">
      <c r="A54" s="4">
        <v>30</v>
      </c>
      <c r="B54" s="4">
        <f t="shared" si="19"/>
        <v>24000</v>
      </c>
      <c r="C54" s="4">
        <f t="shared" si="20"/>
        <v>748.29130572987822</v>
      </c>
      <c r="D54" s="4">
        <f t="shared" si="21"/>
        <v>8231.2043630286607</v>
      </c>
      <c r="E54" s="4">
        <f t="shared" si="22"/>
        <v>28115.602181514332</v>
      </c>
      <c r="F54" s="4">
        <f t="shared" si="23"/>
        <v>25304.041963362899</v>
      </c>
      <c r="G54" s="4">
        <f t="shared" si="24"/>
        <v>1541.104615969919</v>
      </c>
      <c r="H54" s="4">
        <f t="shared" si="25"/>
        <v>95604.690385272261</v>
      </c>
      <c r="I54" s="4">
        <f t="shared" si="0"/>
        <v>4385.1876154108904</v>
      </c>
      <c r="J54" s="4">
        <f t="shared" si="3"/>
        <v>0</v>
      </c>
      <c r="K54" s="4">
        <f t="shared" si="26"/>
        <v>26304.912131647852</v>
      </c>
      <c r="L54" s="4">
        <f t="shared" si="27"/>
        <v>3551.689380594813</v>
      </c>
      <c r="M54" s="4">
        <f t="shared" si="28"/>
        <v>-16315.360435489903</v>
      </c>
      <c r="N54" s="4">
        <f t="shared" si="18"/>
        <v>0</v>
      </c>
      <c r="O54" s="4">
        <f t="shared" si="29"/>
        <v>-660173.90795589029</v>
      </c>
      <c r="P54" s="4">
        <f t="shared" si="9"/>
        <v>-273667.06116399815</v>
      </c>
      <c r="Q54" s="4">
        <f t="shared" si="30"/>
        <v>-564.56921757061798</v>
      </c>
      <c r="R54" s="5">
        <f>données_NASDAQ!J52</f>
        <v>-336.36071576842323</v>
      </c>
      <c r="S54" s="4">
        <f>données_NASDAQ!I52</f>
        <v>-498.43542040017729</v>
      </c>
      <c r="T54" s="7">
        <f t="shared" si="31"/>
        <v>1.67846359905867</v>
      </c>
      <c r="U54" s="7">
        <f t="shared" si="32"/>
        <v>1.4818479002861287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3155-A5F0-4CD1-9271-8DCF30BB2286}">
  <dimension ref="A1:M53"/>
  <sheetViews>
    <sheetView zoomScale="85" zoomScaleNormal="85" workbookViewId="0">
      <selection activeCell="D17" sqref="D17"/>
    </sheetView>
  </sheetViews>
  <sheetFormatPr baseColWidth="10" defaultRowHeight="15" x14ac:dyDescent="0.25"/>
  <cols>
    <col min="1" max="1" width="37.85546875" customWidth="1"/>
    <col min="2" max="2" width="32.7109375" customWidth="1"/>
    <col min="3" max="3" width="41.28515625" customWidth="1"/>
    <col min="4" max="8" width="39.42578125" customWidth="1"/>
    <col min="9" max="9" width="44.42578125" customWidth="1"/>
    <col min="10" max="13" width="40.42578125" customWidth="1"/>
    <col min="14" max="14" width="51.140625" customWidth="1"/>
    <col min="15" max="17" width="42.85546875" customWidth="1"/>
    <col min="18" max="18" width="34.140625" customWidth="1"/>
    <col min="19" max="19" width="25" customWidth="1"/>
    <col min="20" max="20" width="43" customWidth="1"/>
    <col min="21" max="21" width="27.140625" customWidth="1"/>
    <col min="22" max="22" width="32.42578125" customWidth="1"/>
  </cols>
  <sheetData>
    <row r="1" spans="1:8" x14ac:dyDescent="0.25">
      <c r="A1" t="s">
        <v>2</v>
      </c>
      <c r="B1">
        <f>Données_immobilier!B1</f>
        <v>24000</v>
      </c>
      <c r="D1" t="s">
        <v>13</v>
      </c>
    </row>
    <row r="2" spans="1:8" x14ac:dyDescent="0.25">
      <c r="A2" t="s">
        <v>0</v>
      </c>
      <c r="B2">
        <f>Données_immobilier!B2</f>
        <v>1</v>
      </c>
      <c r="D2" s="2">
        <v>11294</v>
      </c>
      <c r="E2" s="1">
        <v>0</v>
      </c>
      <c r="F2" s="1"/>
      <c r="G2" s="1"/>
      <c r="H2" s="1"/>
    </row>
    <row r="3" spans="1:8" x14ac:dyDescent="0.25">
      <c r="A3" t="s">
        <v>16</v>
      </c>
      <c r="B3">
        <f>Données_immobilier!B3</f>
        <v>1.02</v>
      </c>
      <c r="D3" s="2">
        <v>28797</v>
      </c>
      <c r="E3" s="1">
        <v>0.11</v>
      </c>
      <c r="F3" s="1"/>
      <c r="G3" s="1"/>
      <c r="H3" s="1"/>
    </row>
    <row r="4" spans="1:8" x14ac:dyDescent="0.25">
      <c r="A4" t="s">
        <v>3</v>
      </c>
      <c r="B4">
        <f>Données_immobilier!B4</f>
        <v>63000</v>
      </c>
      <c r="D4" s="2">
        <v>82341</v>
      </c>
      <c r="E4" s="1">
        <v>0.3</v>
      </c>
      <c r="F4" s="1"/>
      <c r="G4" s="1"/>
      <c r="H4" s="1"/>
    </row>
    <row r="5" spans="1:8" x14ac:dyDescent="0.25">
      <c r="A5" t="s">
        <v>4</v>
      </c>
      <c r="B5">
        <f>Données_immobilier!B5</f>
        <v>1.014</v>
      </c>
      <c r="D5" s="2">
        <v>177106</v>
      </c>
      <c r="E5" s="1">
        <v>0.41</v>
      </c>
      <c r="F5" s="1"/>
      <c r="G5" s="1"/>
      <c r="H5" s="1"/>
    </row>
    <row r="6" spans="1:8" x14ac:dyDescent="0.25">
      <c r="A6" t="s">
        <v>17</v>
      </c>
      <c r="B6">
        <f>Données_immobilier!B6</f>
        <v>1.014</v>
      </c>
      <c r="E6" s="1">
        <v>0.45</v>
      </c>
    </row>
    <row r="7" spans="1:8" x14ac:dyDescent="0.25">
      <c r="A7" t="s">
        <v>18</v>
      </c>
      <c r="B7">
        <f>Données_immobilier!B7</f>
        <v>10000</v>
      </c>
    </row>
    <row r="8" spans="1:8" x14ac:dyDescent="0.25">
      <c r="A8" t="s">
        <v>5</v>
      </c>
      <c r="B8">
        <f>Données_immobilier!B8</f>
        <v>10000</v>
      </c>
    </row>
    <row r="9" spans="1:8" x14ac:dyDescent="0.25">
      <c r="A9" t="s">
        <v>6</v>
      </c>
      <c r="B9">
        <f>Données_immobilier!B9</f>
        <v>58040</v>
      </c>
    </row>
    <row r="10" spans="1:8" x14ac:dyDescent="0.25">
      <c r="A10" t="s">
        <v>7</v>
      </c>
      <c r="B10">
        <f>Données_immobilier!B11</f>
        <v>0.05</v>
      </c>
    </row>
    <row r="11" spans="1:8" x14ac:dyDescent="0.25">
      <c r="A11" t="s">
        <v>8</v>
      </c>
      <c r="B11" s="3">
        <f>Données_immobilier!B12</f>
        <v>9.9999000000000002</v>
      </c>
    </row>
    <row r="12" spans="1:8" x14ac:dyDescent="0.25">
      <c r="A12" t="s">
        <v>11</v>
      </c>
      <c r="B12">
        <f>Données_immobilier!$B$15</f>
        <v>74452.735215246357</v>
      </c>
    </row>
    <row r="13" spans="1:8" x14ac:dyDescent="0.25">
      <c r="A13" t="s">
        <v>9</v>
      </c>
      <c r="B13">
        <f>Données_immobilier!B14</f>
        <v>620.44566458369889</v>
      </c>
    </row>
    <row r="14" spans="1:8" x14ac:dyDescent="0.25">
      <c r="A14" t="s">
        <v>12</v>
      </c>
      <c r="B14">
        <f>Données_immobilier!B16</f>
        <v>500</v>
      </c>
    </row>
    <row r="15" spans="1:8" x14ac:dyDescent="0.25">
      <c r="A15" t="s">
        <v>14</v>
      </c>
      <c r="B15" s="3">
        <f>Données_immobilier!B17</f>
        <v>0.91666666666666663</v>
      </c>
      <c r="C15" t="s">
        <v>29</v>
      </c>
    </row>
    <row r="16" spans="1:8" x14ac:dyDescent="0.25">
      <c r="A16" t="s">
        <v>15</v>
      </c>
      <c r="B16">
        <f>Données_immobilier!B18</f>
        <v>0.01</v>
      </c>
      <c r="C16" t="s">
        <v>28</v>
      </c>
    </row>
    <row r="17" spans="1:13" x14ac:dyDescent="0.25">
      <c r="A17" t="s">
        <v>10</v>
      </c>
      <c r="B17">
        <f>Données_immobilier!B19</f>
        <v>0</v>
      </c>
      <c r="C17" t="s">
        <v>33</v>
      </c>
    </row>
    <row r="18" spans="1:13" x14ac:dyDescent="0.25">
      <c r="A18" t="s">
        <v>34</v>
      </c>
      <c r="B18">
        <f>Données_immobilier!B20</f>
        <v>1.0577861200000001</v>
      </c>
    </row>
    <row r="19" spans="1:13" x14ac:dyDescent="0.25">
      <c r="A19" t="s">
        <v>40</v>
      </c>
      <c r="B19">
        <f>Données_immobilier!B21</f>
        <v>1.0288930600000001</v>
      </c>
    </row>
    <row r="21" spans="1:13" ht="45" x14ac:dyDescent="0.25">
      <c r="H21" s="6" t="s">
        <v>39</v>
      </c>
    </row>
    <row r="22" spans="1:13" x14ac:dyDescent="0.25">
      <c r="A22" t="s">
        <v>1</v>
      </c>
      <c r="B22" t="s">
        <v>20</v>
      </c>
      <c r="C22" t="s">
        <v>23</v>
      </c>
      <c r="D22" t="s">
        <v>22</v>
      </c>
      <c r="E22" t="s">
        <v>24</v>
      </c>
      <c r="F22" t="s">
        <v>41</v>
      </c>
      <c r="G22" t="s">
        <v>38</v>
      </c>
      <c r="H22" t="s">
        <v>37</v>
      </c>
      <c r="I22" t="s">
        <v>26</v>
      </c>
      <c r="J22" t="s">
        <v>35</v>
      </c>
    </row>
    <row r="23" spans="1:13" x14ac:dyDescent="0.25">
      <c r="A23" s="4">
        <v>1</v>
      </c>
      <c r="B23" s="4">
        <f>B1*$B$2</f>
        <v>24000</v>
      </c>
      <c r="C23" s="4">
        <f>B23</f>
        <v>24000</v>
      </c>
      <c r="D23" s="4">
        <f>C23*0.9</f>
        <v>21600</v>
      </c>
      <c r="E23" s="4">
        <f>MAX(D23-$D$5,0)*$E$6+MAX(MIN(D23,$D$5)-$D$4,0)*$E$5+MAX(MIN(D23,$D$4)-$D$3,0)*$E$4+MAX(MIN(D23,$D$3)-$D$2,0)*$E$3</f>
        <v>1133.6600000000001</v>
      </c>
      <c r="F23" s="4">
        <f t="shared" ref="F23:F42" si="0">B23-E23</f>
        <v>22866.34</v>
      </c>
      <c r="G23" s="4">
        <f>1100+900</f>
        <v>2000</v>
      </c>
      <c r="H23" s="4">
        <f>(F23-G23*12)/1000</f>
        <v>-1.1336599999999999</v>
      </c>
      <c r="I23" s="4">
        <f>B7*$B$18/1000+H23*$B$19</f>
        <v>9.4114462936004006</v>
      </c>
      <c r="J23" s="5">
        <f>B7*$B$3/1000+H23*(1+($B$3-1)/2)</f>
        <v>9.0550034000000004</v>
      </c>
      <c r="K23" s="5"/>
      <c r="L23" s="5"/>
      <c r="M23" s="4"/>
    </row>
    <row r="24" spans="1:13" x14ac:dyDescent="0.25">
      <c r="A24" s="4">
        <v>2</v>
      </c>
      <c r="B24" s="4">
        <f>B23*$B$2</f>
        <v>24000</v>
      </c>
      <c r="C24" s="4">
        <f t="shared" ref="C24:C42" si="1">B24</f>
        <v>24000</v>
      </c>
      <c r="D24" s="4">
        <f>C24*0.9</f>
        <v>21600</v>
      </c>
      <c r="E24" s="4">
        <f>MAX(D24-$D$5,0)*$E$6+MAX(MIN(D24,$D$5)-$D$4,0)*$E$5+MAX(MIN(D24,$D$4)-$D$3,0)*$E$4+MAX(MIN(D24,$D$3)-$D$2,0)*$E$3</f>
        <v>1133.6600000000001</v>
      </c>
      <c r="F24" s="4">
        <f t="shared" si="0"/>
        <v>22866.34</v>
      </c>
      <c r="G24" s="4">
        <f>G23*$B$3</f>
        <v>2040</v>
      </c>
      <c r="H24" s="4">
        <f t="shared" ref="H24:H42" si="2">(F24-G24*12)/1000</f>
        <v>-1.6136599999999999</v>
      </c>
      <c r="I24" s="4">
        <f>I23*$B$18+H24*$B$19</f>
        <v>8.2950136832963501</v>
      </c>
      <c r="J24" s="5">
        <f>J23*$B$3+H24*(1+($B$3-1)/2)</f>
        <v>7.6063068680000017</v>
      </c>
      <c r="K24" s="5"/>
      <c r="L24" s="5"/>
      <c r="M24" s="4"/>
    </row>
    <row r="25" spans="1:13" x14ac:dyDescent="0.25">
      <c r="A25" s="4">
        <v>3</v>
      </c>
      <c r="B25" s="4">
        <f>B24*$B$2</f>
        <v>24000</v>
      </c>
      <c r="C25" s="4">
        <f t="shared" si="1"/>
        <v>24000</v>
      </c>
      <c r="D25" s="4">
        <f>C25*0.9</f>
        <v>21600</v>
      </c>
      <c r="E25" s="4">
        <f>MAX(D25-$D$5,0)*$E$6+MAX(MIN(D25,$D$5)-$D$4,0)*$E$5+MAX(MIN(D25,$D$4)-$D$3,0)*$E$4+MAX(MIN(D25,$D$3)-$D$2,0)*$E$3</f>
        <v>1133.6600000000001</v>
      </c>
      <c r="F25" s="4">
        <f t="shared" si="0"/>
        <v>22866.34</v>
      </c>
      <c r="G25" s="4">
        <f t="shared" ref="G25:G42" si="3">G24*$B$3</f>
        <v>2080.8000000000002</v>
      </c>
      <c r="H25" s="4">
        <f t="shared" si="2"/>
        <v>-2.1032600000000019</v>
      </c>
      <c r="I25" s="4">
        <f t="shared" ref="I25:I42" si="4">I24*$B$18+H25*$B$19</f>
        <v>6.610320722025353</v>
      </c>
      <c r="J25" s="5">
        <f t="shared" ref="J25:J42" si="5">J24*$B$3+H25*(1+($B$3-1)/2)</f>
        <v>5.6341404053600002</v>
      </c>
      <c r="K25" s="5"/>
      <c r="L25" s="5"/>
      <c r="M25" s="4"/>
    </row>
    <row r="26" spans="1:13" x14ac:dyDescent="0.25">
      <c r="A26" s="4">
        <v>4</v>
      </c>
      <c r="B26" s="4">
        <f t="shared" ref="B26:B41" si="6">B25*$B$2</f>
        <v>24000</v>
      </c>
      <c r="C26" s="4">
        <f t="shared" si="1"/>
        <v>24000</v>
      </c>
      <c r="D26" s="4">
        <f t="shared" ref="D26:D41" si="7">C26*0.9</f>
        <v>21600</v>
      </c>
      <c r="E26" s="4">
        <f t="shared" ref="E26:E41" si="8">MAX(D26-$D$5,0)*$E$6+MAX(MIN(D26,$D$5)-$D$4,0)*$E$5+MAX(MIN(D26,$D$4)-$D$3,0)*$E$4+MAX(MIN(D26,$D$3)-$D$2,0)*$E$3</f>
        <v>1133.6600000000001</v>
      </c>
      <c r="F26" s="4">
        <f t="shared" si="0"/>
        <v>22866.34</v>
      </c>
      <c r="G26" s="4">
        <f t="shared" si="3"/>
        <v>2122.4160000000002</v>
      </c>
      <c r="H26" s="4">
        <f t="shared" si="2"/>
        <v>-2.6026520000000017</v>
      </c>
      <c r="I26" s="4">
        <f t="shared" si="4"/>
        <v>4.3144549281116742</v>
      </c>
      <c r="J26" s="5">
        <f t="shared" si="5"/>
        <v>3.1181446934671988</v>
      </c>
      <c r="K26" s="5"/>
      <c r="L26" s="5"/>
      <c r="M26" s="4"/>
    </row>
    <row r="27" spans="1:13" x14ac:dyDescent="0.25">
      <c r="A27" s="4">
        <v>5</v>
      </c>
      <c r="B27" s="4">
        <f t="shared" si="6"/>
        <v>24000</v>
      </c>
      <c r="C27" s="4">
        <f t="shared" si="1"/>
        <v>24000</v>
      </c>
      <c r="D27" s="4">
        <f t="shared" si="7"/>
        <v>21600</v>
      </c>
      <c r="E27" s="4">
        <f t="shared" si="8"/>
        <v>1133.6600000000001</v>
      </c>
      <c r="F27" s="4">
        <f t="shared" si="0"/>
        <v>22866.34</v>
      </c>
      <c r="G27" s="4">
        <f t="shared" si="3"/>
        <v>2164.8643200000001</v>
      </c>
      <c r="H27" s="4">
        <f t="shared" si="2"/>
        <v>-3.1120318399999998</v>
      </c>
      <c r="I27" s="4">
        <f t="shared" si="4"/>
        <v>1.3618225756470967</v>
      </c>
      <c r="J27" s="5">
        <f t="shared" si="5"/>
        <v>3.7355428936542978E-2</v>
      </c>
      <c r="K27" s="5"/>
      <c r="L27" s="5"/>
      <c r="M27" s="4"/>
    </row>
    <row r="28" spans="1:13" x14ac:dyDescent="0.25">
      <c r="A28" s="4">
        <v>6</v>
      </c>
      <c r="B28" s="4">
        <f t="shared" si="6"/>
        <v>24000</v>
      </c>
      <c r="C28" s="4">
        <f t="shared" si="1"/>
        <v>24000</v>
      </c>
      <c r="D28" s="4">
        <f t="shared" si="7"/>
        <v>21600</v>
      </c>
      <c r="E28" s="4">
        <f t="shared" si="8"/>
        <v>1133.6600000000001</v>
      </c>
      <c r="F28" s="4">
        <f t="shared" si="0"/>
        <v>22866.34</v>
      </c>
      <c r="G28" s="4">
        <f t="shared" si="3"/>
        <v>2208.1616064</v>
      </c>
      <c r="H28" s="4">
        <f t="shared" si="2"/>
        <v>-3.6315992767999998</v>
      </c>
      <c r="I28" s="4">
        <f t="shared" si="4"/>
        <v>-2.2960102741783905</v>
      </c>
      <c r="J28" s="5">
        <f t="shared" si="5"/>
        <v>-3.6298127320527258</v>
      </c>
      <c r="K28" s="5"/>
      <c r="L28" s="5"/>
      <c r="M28" s="4"/>
    </row>
    <row r="29" spans="1:13" x14ac:dyDescent="0.25">
      <c r="A29" s="4">
        <v>7</v>
      </c>
      <c r="B29" s="4">
        <f t="shared" si="6"/>
        <v>24000</v>
      </c>
      <c r="C29" s="4">
        <f t="shared" si="1"/>
        <v>24000</v>
      </c>
      <c r="D29" s="4">
        <f t="shared" si="7"/>
        <v>21600</v>
      </c>
      <c r="E29" s="4">
        <f t="shared" si="8"/>
        <v>1133.6600000000001</v>
      </c>
      <c r="F29" s="4">
        <f t="shared" si="0"/>
        <v>22866.34</v>
      </c>
      <c r="G29" s="4">
        <f t="shared" si="3"/>
        <v>2252.3248385279999</v>
      </c>
      <c r="H29" s="4">
        <f t="shared" si="2"/>
        <v>-4.1615580623359962</v>
      </c>
      <c r="I29" s="4">
        <f t="shared" si="4"/>
        <v>-6.7104860085278499</v>
      </c>
      <c r="J29" s="5">
        <f t="shared" si="5"/>
        <v>-7.9055826296531375</v>
      </c>
      <c r="K29" s="5"/>
      <c r="L29" s="5"/>
      <c r="M29" s="4"/>
    </row>
    <row r="30" spans="1:13" x14ac:dyDescent="0.25">
      <c r="A30" s="4">
        <v>8</v>
      </c>
      <c r="B30" s="4">
        <f t="shared" si="6"/>
        <v>24000</v>
      </c>
      <c r="C30" s="4">
        <f t="shared" si="1"/>
        <v>24000</v>
      </c>
      <c r="D30" s="4">
        <f t="shared" si="7"/>
        <v>21600</v>
      </c>
      <c r="E30" s="4">
        <f t="shared" si="8"/>
        <v>1133.6600000000001</v>
      </c>
      <c r="F30" s="4">
        <f t="shared" si="0"/>
        <v>22866.34</v>
      </c>
      <c r="G30" s="4">
        <f t="shared" si="3"/>
        <v>2297.3713352985601</v>
      </c>
      <c r="H30" s="4">
        <f t="shared" si="2"/>
        <v>-4.7021160235827226</v>
      </c>
      <c r="I30" s="4">
        <f t="shared" si="4"/>
        <v>-11.936233502254023</v>
      </c>
      <c r="J30" s="5">
        <f t="shared" si="5"/>
        <v>-12.81283146606475</v>
      </c>
      <c r="K30" s="5"/>
      <c r="L30" s="5"/>
      <c r="M30" s="4"/>
    </row>
    <row r="31" spans="1:13" x14ac:dyDescent="0.25">
      <c r="A31" s="4">
        <v>9</v>
      </c>
      <c r="B31" s="4">
        <f t="shared" si="6"/>
        <v>24000</v>
      </c>
      <c r="C31" s="4">
        <f t="shared" si="1"/>
        <v>24000</v>
      </c>
      <c r="D31" s="4">
        <f t="shared" si="7"/>
        <v>21600</v>
      </c>
      <c r="E31" s="4">
        <f t="shared" si="8"/>
        <v>1133.6600000000001</v>
      </c>
      <c r="F31" s="4">
        <f t="shared" si="0"/>
        <v>22866.34</v>
      </c>
      <c r="G31" s="4">
        <f t="shared" si="3"/>
        <v>2343.3187620045314</v>
      </c>
      <c r="H31" s="4">
        <f t="shared" si="2"/>
        <v>-5.2534851440543751</v>
      </c>
      <c r="I31" s="4">
        <f t="shared" si="4"/>
        <v>-18.031256529293941</v>
      </c>
      <c r="J31" s="5">
        <f t="shared" si="5"/>
        <v>-18.375108090880964</v>
      </c>
      <c r="K31" s="5"/>
      <c r="L31" s="5"/>
      <c r="M31" s="4"/>
    </row>
    <row r="32" spans="1:13" x14ac:dyDescent="0.25">
      <c r="A32" s="4">
        <v>10</v>
      </c>
      <c r="B32" s="4">
        <f t="shared" si="6"/>
        <v>24000</v>
      </c>
      <c r="C32" s="4">
        <f t="shared" si="1"/>
        <v>24000</v>
      </c>
      <c r="D32" s="4">
        <f t="shared" si="7"/>
        <v>21600</v>
      </c>
      <c r="E32" s="4">
        <f t="shared" si="8"/>
        <v>1133.6600000000001</v>
      </c>
      <c r="F32" s="4">
        <f t="shared" si="0"/>
        <v>22866.34</v>
      </c>
      <c r="G32" s="4">
        <f t="shared" si="3"/>
        <v>2390.1851372446222</v>
      </c>
      <c r="H32" s="4">
        <f t="shared" si="2"/>
        <v>-5.8158816469354679</v>
      </c>
      <c r="I32" s="4">
        <f t="shared" si="4"/>
        <v>-25.057133147159778</v>
      </c>
      <c r="J32" s="5">
        <f t="shared" si="5"/>
        <v>-24.616650716103408</v>
      </c>
      <c r="K32" s="5"/>
      <c r="L32" s="5"/>
      <c r="M32" s="4"/>
    </row>
    <row r="33" spans="1:13" x14ac:dyDescent="0.25">
      <c r="A33" s="4">
        <v>11</v>
      </c>
      <c r="B33" s="4">
        <f t="shared" si="6"/>
        <v>24000</v>
      </c>
      <c r="C33" s="4">
        <f t="shared" si="1"/>
        <v>24000</v>
      </c>
      <c r="D33" s="4">
        <f t="shared" si="7"/>
        <v>21600</v>
      </c>
      <c r="E33" s="4">
        <f t="shared" si="8"/>
        <v>1133.6600000000001</v>
      </c>
      <c r="F33" s="4">
        <f t="shared" si="0"/>
        <v>22866.34</v>
      </c>
      <c r="G33" s="4">
        <f t="shared" si="3"/>
        <v>2437.9888399895149</v>
      </c>
      <c r="H33" s="4">
        <f t="shared" si="2"/>
        <v>-6.3895260798741766</v>
      </c>
      <c r="I33" s="4">
        <f t="shared" si="4"/>
        <v>-33.079226690329079</v>
      </c>
      <c r="J33" s="5">
        <f t="shared" si="5"/>
        <v>-31.562405071098393</v>
      </c>
      <c r="K33" s="5"/>
      <c r="L33" s="5"/>
      <c r="M33" s="4"/>
    </row>
    <row r="34" spans="1:13" x14ac:dyDescent="0.25">
      <c r="A34" s="4">
        <v>12</v>
      </c>
      <c r="B34" s="4">
        <f t="shared" si="6"/>
        <v>24000</v>
      </c>
      <c r="C34" s="4">
        <f t="shared" si="1"/>
        <v>24000</v>
      </c>
      <c r="D34" s="4">
        <f t="shared" si="7"/>
        <v>21600</v>
      </c>
      <c r="E34" s="4">
        <f t="shared" si="8"/>
        <v>1133.6600000000001</v>
      </c>
      <c r="F34" s="4">
        <f t="shared" si="0"/>
        <v>22866.34</v>
      </c>
      <c r="G34" s="4">
        <f t="shared" si="3"/>
        <v>2486.7486167893053</v>
      </c>
      <c r="H34" s="4">
        <f t="shared" si="2"/>
        <v>-6.9746434014716616</v>
      </c>
      <c r="I34" s="4">
        <f t="shared" si="4"/>
        <v>-42.166909045112625</v>
      </c>
      <c r="J34" s="5">
        <f t="shared" si="5"/>
        <v>-39.238043008006741</v>
      </c>
      <c r="K34" s="5"/>
      <c r="L34" s="5"/>
      <c r="M34" s="4"/>
    </row>
    <row r="35" spans="1:13" x14ac:dyDescent="0.25">
      <c r="A35" s="4">
        <v>13</v>
      </c>
      <c r="B35" s="4">
        <f t="shared" si="6"/>
        <v>24000</v>
      </c>
      <c r="C35" s="4">
        <f t="shared" si="1"/>
        <v>24000</v>
      </c>
      <c r="D35" s="4">
        <f t="shared" si="7"/>
        <v>21600</v>
      </c>
      <c r="E35" s="4">
        <f t="shared" si="8"/>
        <v>1133.6600000000001</v>
      </c>
      <c r="F35" s="4">
        <f t="shared" si="0"/>
        <v>22866.34</v>
      </c>
      <c r="G35" s="4">
        <f t="shared" si="3"/>
        <v>2536.4835891250914</v>
      </c>
      <c r="H35" s="4">
        <f t="shared" si="2"/>
        <v>-7.571463069501096</v>
      </c>
      <c r="I35" s="4">
        <f t="shared" si="4"/>
        <v>-52.393796917478568</v>
      </c>
      <c r="J35" s="5">
        <f t="shared" si="5"/>
        <v>-47.669981568362985</v>
      </c>
      <c r="K35" s="5"/>
      <c r="L35" s="5"/>
      <c r="M35" s="4"/>
    </row>
    <row r="36" spans="1:13" x14ac:dyDescent="0.25">
      <c r="A36" s="4">
        <v>14</v>
      </c>
      <c r="B36" s="4">
        <f t="shared" si="6"/>
        <v>24000</v>
      </c>
      <c r="C36" s="4">
        <f t="shared" si="1"/>
        <v>24000</v>
      </c>
      <c r="D36" s="4">
        <f t="shared" si="7"/>
        <v>21600</v>
      </c>
      <c r="E36" s="4">
        <f t="shared" si="8"/>
        <v>1133.6600000000001</v>
      </c>
      <c r="F36" s="4">
        <f t="shared" si="0"/>
        <v>22866.34</v>
      </c>
      <c r="G36" s="4">
        <f t="shared" si="3"/>
        <v>2587.2132609075934</v>
      </c>
      <c r="H36" s="4">
        <f t="shared" si="2"/>
        <v>-8.1802191308911212</v>
      </c>
      <c r="I36" s="4">
        <f t="shared" si="4"/>
        <v>-63.838001846460728</v>
      </c>
      <c r="J36" s="5">
        <f t="shared" si="5"/>
        <v>-56.885402521930281</v>
      </c>
      <c r="K36" s="5"/>
      <c r="L36" s="5"/>
      <c r="M36" s="4"/>
    </row>
    <row r="37" spans="1:13" x14ac:dyDescent="0.25">
      <c r="A37" s="4">
        <v>15</v>
      </c>
      <c r="B37" s="4">
        <f t="shared" si="6"/>
        <v>24000</v>
      </c>
      <c r="C37" s="4">
        <f t="shared" si="1"/>
        <v>24000</v>
      </c>
      <c r="D37" s="4">
        <f t="shared" si="7"/>
        <v>21600</v>
      </c>
      <c r="E37" s="4">
        <f t="shared" si="8"/>
        <v>1133.6600000000001</v>
      </c>
      <c r="F37" s="4">
        <f t="shared" si="0"/>
        <v>22866.34</v>
      </c>
      <c r="G37" s="4">
        <f t="shared" si="3"/>
        <v>2638.9575261257455</v>
      </c>
      <c r="H37" s="4">
        <f t="shared" si="2"/>
        <v>-8.8011503135089484</v>
      </c>
      <c r="I37" s="4">
        <f t="shared" si="4"/>
        <v>-76.582394759306709</v>
      </c>
      <c r="J37" s="5">
        <f t="shared" si="5"/>
        <v>-66.912272389012927</v>
      </c>
      <c r="K37" s="5"/>
      <c r="L37" s="5"/>
      <c r="M37" s="4"/>
    </row>
    <row r="38" spans="1:13" x14ac:dyDescent="0.25">
      <c r="A38" s="4">
        <v>16</v>
      </c>
      <c r="B38" s="4">
        <f t="shared" si="6"/>
        <v>24000</v>
      </c>
      <c r="C38" s="4">
        <f t="shared" si="1"/>
        <v>24000</v>
      </c>
      <c r="D38" s="4">
        <f t="shared" si="7"/>
        <v>21600</v>
      </c>
      <c r="E38" s="4">
        <f t="shared" si="8"/>
        <v>1133.6600000000001</v>
      </c>
      <c r="F38" s="4">
        <f t="shared" si="0"/>
        <v>22866.34</v>
      </c>
      <c r="G38" s="4">
        <f t="shared" si="3"/>
        <v>2691.7366766482605</v>
      </c>
      <c r="H38" s="4">
        <f t="shared" si="2"/>
        <v>-9.4345001197791252</v>
      </c>
      <c r="I38" s="4">
        <f t="shared" si="4"/>
        <v>-90.7148859105653</v>
      </c>
      <c r="J38" s="5">
        <f t="shared" si="5"/>
        <v>-77.779362957770104</v>
      </c>
      <c r="K38" s="5"/>
      <c r="L38" s="5"/>
      <c r="M38" s="4"/>
    </row>
    <row r="39" spans="1:13" x14ac:dyDescent="0.25">
      <c r="A39" s="4">
        <v>17</v>
      </c>
      <c r="B39" s="4">
        <f t="shared" si="6"/>
        <v>24000</v>
      </c>
      <c r="C39" s="4">
        <f t="shared" si="1"/>
        <v>24000</v>
      </c>
      <c r="D39" s="4">
        <f t="shared" si="7"/>
        <v>21600</v>
      </c>
      <c r="E39" s="4">
        <f t="shared" si="8"/>
        <v>1133.6600000000001</v>
      </c>
      <c r="F39" s="4">
        <f t="shared" si="0"/>
        <v>22866.34</v>
      </c>
      <c r="G39" s="4">
        <f t="shared" si="3"/>
        <v>2745.5714101812259</v>
      </c>
      <c r="H39" s="4">
        <f t="shared" si="2"/>
        <v>-10.080516922174709</v>
      </c>
      <c r="I39" s="4">
        <f t="shared" si="4"/>
        <v>-106.32872109601766</v>
      </c>
      <c r="J39" s="5">
        <f t="shared" si="5"/>
        <v>-89.516272308321959</v>
      </c>
      <c r="K39" s="5"/>
      <c r="L39" s="5"/>
      <c r="M39" s="4"/>
    </row>
    <row r="40" spans="1:13" x14ac:dyDescent="0.25">
      <c r="A40" s="4">
        <v>18</v>
      </c>
      <c r="B40" s="4">
        <f t="shared" si="6"/>
        <v>24000</v>
      </c>
      <c r="C40" s="4">
        <f t="shared" si="1"/>
        <v>24000</v>
      </c>
      <c r="D40" s="4">
        <f t="shared" si="7"/>
        <v>21600</v>
      </c>
      <c r="E40" s="4">
        <f t="shared" si="8"/>
        <v>1133.6600000000001</v>
      </c>
      <c r="F40" s="4">
        <f t="shared" si="0"/>
        <v>22866.34</v>
      </c>
      <c r="G40" s="4">
        <f t="shared" si="3"/>
        <v>2800.4828383848503</v>
      </c>
      <c r="H40" s="4">
        <f t="shared" si="2"/>
        <v>-10.739454060618202</v>
      </c>
      <c r="I40" s="4">
        <f t="shared" si="4"/>
        <v>-123.52279508387755</v>
      </c>
      <c r="J40" s="5">
        <f t="shared" si="5"/>
        <v>-102.15344635571277</v>
      </c>
      <c r="K40" s="5"/>
      <c r="L40" s="5"/>
      <c r="M40" s="4"/>
    </row>
    <row r="41" spans="1:13" x14ac:dyDescent="0.25">
      <c r="A41" s="4">
        <v>19</v>
      </c>
      <c r="B41" s="4">
        <f t="shared" si="6"/>
        <v>24000</v>
      </c>
      <c r="C41" s="4">
        <f t="shared" si="1"/>
        <v>24000</v>
      </c>
      <c r="D41" s="4">
        <f t="shared" si="7"/>
        <v>21600</v>
      </c>
      <c r="E41" s="4">
        <f t="shared" si="8"/>
        <v>1133.6600000000001</v>
      </c>
      <c r="F41" s="4">
        <f t="shared" si="0"/>
        <v>22866.34</v>
      </c>
      <c r="G41" s="4">
        <f t="shared" si="3"/>
        <v>2856.4924951525472</v>
      </c>
      <c r="H41" s="4">
        <f t="shared" si="2"/>
        <v>-11.411569941830571</v>
      </c>
      <c r="I41" s="4">
        <f t="shared" si="4"/>
        <v>-142.40198326018398</v>
      </c>
      <c r="J41" s="5">
        <f t="shared" si="5"/>
        <v>-115.72220092407591</v>
      </c>
      <c r="K41" s="5"/>
      <c r="L41" s="5"/>
      <c r="M41" s="4"/>
    </row>
    <row r="42" spans="1:13" x14ac:dyDescent="0.25">
      <c r="A42" s="4">
        <v>20</v>
      </c>
      <c r="B42" s="4">
        <f>B41*$B$2</f>
        <v>24000</v>
      </c>
      <c r="C42" s="4">
        <f t="shared" si="1"/>
        <v>24000</v>
      </c>
      <c r="D42" s="4">
        <f>C42*0.9</f>
        <v>21600</v>
      </c>
      <c r="E42" s="4">
        <f>MAX(D42-$D$5,0)*$E$6+MAX(MIN(D42,$D$5)-$D$4,0)*$E$5+MAX(MIN(D42,$D$4)-$D$3,0)*$E$4+MAX(MIN(D42,$D$3)-$D$2,0)*$E$3</f>
        <v>1133.6600000000001</v>
      </c>
      <c r="F42" s="4">
        <f t="shared" si="0"/>
        <v>22866.34</v>
      </c>
      <c r="G42" s="4">
        <f t="shared" si="3"/>
        <v>2913.6223450555981</v>
      </c>
      <c r="H42" s="4">
        <f t="shared" si="2"/>
        <v>-12.097128140667174</v>
      </c>
      <c r="I42" s="4">
        <f t="shared" si="4"/>
        <v>-163.07749254295814</v>
      </c>
      <c r="J42" s="5">
        <f t="shared" si="5"/>
        <v>-130.25474436463128</v>
      </c>
      <c r="K42" s="5"/>
      <c r="L42" s="5"/>
      <c r="M42" s="4"/>
    </row>
    <row r="43" spans="1:13" x14ac:dyDescent="0.25">
      <c r="A43" s="4">
        <v>21</v>
      </c>
      <c r="B43" s="4">
        <f t="shared" ref="B43:B52" si="9">B42*$B$2</f>
        <v>24000</v>
      </c>
      <c r="C43" s="4">
        <f t="shared" ref="C43:C52" si="10">B43</f>
        <v>24000</v>
      </c>
      <c r="D43" s="4">
        <f t="shared" ref="D43:D52" si="11">C43*0.9</f>
        <v>21600</v>
      </c>
      <c r="E43" s="4">
        <f t="shared" ref="E43:E52" si="12">MAX(D43-$D$5,0)*$E$6+MAX(MIN(D43,$D$5)-$D$4,0)*$E$5+MAX(MIN(D43,$D$4)-$D$3,0)*$E$4+MAX(MIN(D43,$D$3)-$D$2,0)*$E$3</f>
        <v>1133.6600000000001</v>
      </c>
      <c r="F43" s="4">
        <f t="shared" ref="F43:F52" si="13">B43-E43</f>
        <v>22866.34</v>
      </c>
      <c r="G43" s="4">
        <f t="shared" ref="G43:G52" si="14">G42*$B$3</f>
        <v>2971.8947919567099</v>
      </c>
      <c r="H43" s="4">
        <f t="shared" ref="H43:H52" si="15">(F43-G43*12)/1000</f>
        <v>-12.796397503480515</v>
      </c>
      <c r="I43" s="4">
        <f t="shared" ref="I43:I52" si="16">I42*$B$18+H43*$B$19</f>
        <v>-185.66723268067707</v>
      </c>
      <c r="J43" s="5">
        <f t="shared" ref="J43:J52" si="17">J42*$B$3+H43*(1+($B$3-1)/2)</f>
        <v>-145.78420073043924</v>
      </c>
    </row>
    <row r="44" spans="1:13" x14ac:dyDescent="0.25">
      <c r="A44" s="4">
        <v>22</v>
      </c>
      <c r="B44" s="4">
        <f t="shared" si="9"/>
        <v>24000</v>
      </c>
      <c r="C44" s="4">
        <f t="shared" si="10"/>
        <v>24000</v>
      </c>
      <c r="D44" s="4">
        <f t="shared" si="11"/>
        <v>21600</v>
      </c>
      <c r="E44" s="4">
        <f t="shared" si="12"/>
        <v>1133.6600000000001</v>
      </c>
      <c r="F44" s="4">
        <f t="shared" si="13"/>
        <v>22866.34</v>
      </c>
      <c r="G44" s="4">
        <f t="shared" si="14"/>
        <v>3031.3326877958443</v>
      </c>
      <c r="H44" s="4">
        <f t="shared" si="15"/>
        <v>-13.509652253550131</v>
      </c>
      <c r="I44" s="4">
        <f t="shared" si="16"/>
        <v>-210.29620911512168</v>
      </c>
      <c r="J44" s="5">
        <f t="shared" si="17"/>
        <v>-162.34463352113366</v>
      </c>
    </row>
    <row r="45" spans="1:13" x14ac:dyDescent="0.25">
      <c r="A45" s="4">
        <v>23</v>
      </c>
      <c r="B45" s="4">
        <f t="shared" si="9"/>
        <v>24000</v>
      </c>
      <c r="C45" s="4">
        <f t="shared" si="10"/>
        <v>24000</v>
      </c>
      <c r="D45" s="4">
        <f t="shared" si="11"/>
        <v>21600</v>
      </c>
      <c r="E45" s="4">
        <f t="shared" si="12"/>
        <v>1133.6600000000001</v>
      </c>
      <c r="F45" s="4">
        <f t="shared" si="13"/>
        <v>22866.34</v>
      </c>
      <c r="G45" s="4">
        <f t="shared" si="14"/>
        <v>3091.9593415517611</v>
      </c>
      <c r="H45" s="4">
        <f t="shared" si="15"/>
        <v>-14.237172098621134</v>
      </c>
      <c r="I45" s="4">
        <f t="shared" si="16"/>
        <v>-237.09693865689013</v>
      </c>
      <c r="J45" s="5">
        <f t="shared" si="17"/>
        <v>-179.97107001116368</v>
      </c>
    </row>
    <row r="46" spans="1:13" x14ac:dyDescent="0.25">
      <c r="A46" s="4">
        <v>24</v>
      </c>
      <c r="B46" s="4">
        <f t="shared" si="9"/>
        <v>24000</v>
      </c>
      <c r="C46" s="4">
        <f t="shared" si="10"/>
        <v>24000</v>
      </c>
      <c r="D46" s="4">
        <f t="shared" si="11"/>
        <v>21600</v>
      </c>
      <c r="E46" s="4">
        <f t="shared" si="12"/>
        <v>1133.6600000000001</v>
      </c>
      <c r="F46" s="4">
        <f t="shared" si="13"/>
        <v>22866.34</v>
      </c>
      <c r="G46" s="4">
        <f t="shared" si="14"/>
        <v>3153.7985283827966</v>
      </c>
      <c r="H46" s="4">
        <f t="shared" si="15"/>
        <v>-14.979242340593558</v>
      </c>
      <c r="I46" s="4">
        <f t="shared" si="16"/>
        <v>-266.20988929404473</v>
      </c>
      <c r="J46" s="5">
        <f t="shared" si="17"/>
        <v>-198.69952617538644</v>
      </c>
    </row>
    <row r="47" spans="1:13" x14ac:dyDescent="0.25">
      <c r="A47" s="4">
        <v>25</v>
      </c>
      <c r="B47" s="4">
        <f t="shared" si="9"/>
        <v>24000</v>
      </c>
      <c r="C47" s="4">
        <f t="shared" si="10"/>
        <v>24000</v>
      </c>
      <c r="D47" s="4">
        <f t="shared" si="11"/>
        <v>21600</v>
      </c>
      <c r="E47" s="4">
        <f t="shared" si="12"/>
        <v>1133.6600000000001</v>
      </c>
      <c r="F47" s="4">
        <f t="shared" si="13"/>
        <v>22866.34</v>
      </c>
      <c r="G47" s="4">
        <f t="shared" si="14"/>
        <v>3216.8744989504526</v>
      </c>
      <c r="H47" s="4">
        <f t="shared" si="15"/>
        <v>-15.736153987405432</v>
      </c>
      <c r="I47" s="4">
        <f t="shared" si="16"/>
        <v>-297.7839455307099</v>
      </c>
      <c r="J47" s="5">
        <f t="shared" si="17"/>
        <v>-218.56703222617364</v>
      </c>
    </row>
    <row r="48" spans="1:13" x14ac:dyDescent="0.25">
      <c r="A48" s="4">
        <v>26</v>
      </c>
      <c r="B48" s="4">
        <f t="shared" si="9"/>
        <v>24000</v>
      </c>
      <c r="C48" s="4">
        <f t="shared" si="10"/>
        <v>24000</v>
      </c>
      <c r="D48" s="4">
        <f t="shared" si="11"/>
        <v>21600</v>
      </c>
      <c r="E48" s="4">
        <f t="shared" si="12"/>
        <v>1133.6600000000001</v>
      </c>
      <c r="F48" s="4">
        <f t="shared" si="13"/>
        <v>22866.34</v>
      </c>
      <c r="G48" s="4">
        <f t="shared" si="14"/>
        <v>3281.2119889294618</v>
      </c>
      <c r="H48" s="4">
        <f t="shared" si="15"/>
        <v>-16.508203867153536</v>
      </c>
      <c r="I48" s="4">
        <f t="shared" si="16"/>
        <v>-331.97690073320041</v>
      </c>
      <c r="J48" s="5">
        <f t="shared" si="17"/>
        <v>-239.61165877652221</v>
      </c>
    </row>
    <row r="49" spans="1:10" x14ac:dyDescent="0.25">
      <c r="A49" s="4">
        <v>27</v>
      </c>
      <c r="B49" s="4">
        <f t="shared" si="9"/>
        <v>24000</v>
      </c>
      <c r="C49" s="4">
        <f t="shared" si="10"/>
        <v>24000</v>
      </c>
      <c r="D49" s="4">
        <f t="shared" si="11"/>
        <v>21600</v>
      </c>
      <c r="E49" s="4">
        <f t="shared" si="12"/>
        <v>1133.6600000000001</v>
      </c>
      <c r="F49" s="4">
        <f t="shared" si="13"/>
        <v>22866.34</v>
      </c>
      <c r="G49" s="4">
        <f t="shared" si="14"/>
        <v>3346.8362287080508</v>
      </c>
      <c r="H49" s="4">
        <f t="shared" si="15"/>
        <v>-17.295694744496611</v>
      </c>
      <c r="I49" s="4">
        <f t="shared" si="16"/>
        <v>-368.9559780466883</v>
      </c>
      <c r="J49" s="5">
        <f t="shared" si="17"/>
        <v>-261.87254364399422</v>
      </c>
    </row>
    <row r="50" spans="1:10" x14ac:dyDescent="0.25">
      <c r="A50" s="4">
        <v>28</v>
      </c>
      <c r="B50" s="4">
        <f t="shared" si="9"/>
        <v>24000</v>
      </c>
      <c r="C50" s="4">
        <f t="shared" si="10"/>
        <v>24000</v>
      </c>
      <c r="D50" s="4">
        <f t="shared" si="11"/>
        <v>21600</v>
      </c>
      <c r="E50" s="4">
        <f t="shared" si="12"/>
        <v>1133.6600000000001</v>
      </c>
      <c r="F50" s="4">
        <f t="shared" si="13"/>
        <v>22866.34</v>
      </c>
      <c r="G50" s="4">
        <f t="shared" si="14"/>
        <v>3413.7729532822118</v>
      </c>
      <c r="H50" s="4">
        <f t="shared" si="15"/>
        <v>-18.09893543938654</v>
      </c>
      <c r="I50" s="4">
        <f t="shared" si="16"/>
        <v>-408.89838153578449</v>
      </c>
      <c r="J50" s="5">
        <f t="shared" si="17"/>
        <v>-285.38991931065453</v>
      </c>
    </row>
    <row r="51" spans="1:10" x14ac:dyDescent="0.25">
      <c r="A51" s="4">
        <v>29</v>
      </c>
      <c r="B51" s="4">
        <f t="shared" si="9"/>
        <v>24000</v>
      </c>
      <c r="C51" s="4">
        <f t="shared" si="10"/>
        <v>24000</v>
      </c>
      <c r="D51" s="4">
        <f t="shared" si="11"/>
        <v>21600</v>
      </c>
      <c r="E51" s="4">
        <f t="shared" si="12"/>
        <v>1133.6600000000001</v>
      </c>
      <c r="F51" s="4">
        <f t="shared" si="13"/>
        <v>22866.34</v>
      </c>
      <c r="G51" s="4">
        <f t="shared" si="14"/>
        <v>3482.0484123478559</v>
      </c>
      <c r="H51" s="4">
        <f t="shared" si="15"/>
        <v>-18.918240948174269</v>
      </c>
      <c r="I51" s="4">
        <f t="shared" si="16"/>
        <v>-451.99187929800144</v>
      </c>
      <c r="J51" s="5">
        <f t="shared" si="17"/>
        <v>-310.20514105452361</v>
      </c>
    </row>
    <row r="52" spans="1:10" x14ac:dyDescent="0.25">
      <c r="A52" s="4">
        <v>30</v>
      </c>
      <c r="B52" s="4">
        <f t="shared" si="9"/>
        <v>24000</v>
      </c>
      <c r="C52" s="4">
        <f t="shared" si="10"/>
        <v>24000</v>
      </c>
      <c r="D52" s="4">
        <f t="shared" si="11"/>
        <v>21600</v>
      </c>
      <c r="E52" s="4">
        <f t="shared" si="12"/>
        <v>1133.6600000000001</v>
      </c>
      <c r="F52" s="4">
        <f t="shared" si="13"/>
        <v>22866.34</v>
      </c>
      <c r="G52" s="4">
        <f t="shared" si="14"/>
        <v>3551.689380594813</v>
      </c>
      <c r="H52" s="4">
        <f t="shared" si="15"/>
        <v>-19.753932567137756</v>
      </c>
      <c r="I52" s="4">
        <f t="shared" si="16"/>
        <v>-498.43542040017729</v>
      </c>
      <c r="J52" s="5">
        <f t="shared" si="17"/>
        <v>-336.36071576842323</v>
      </c>
    </row>
    <row r="53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Données_immobilier</vt:lpstr>
      <vt:lpstr>données_NASDAQ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 Aubies</dc:creator>
  <cp:lastModifiedBy>Augustin Aubies</cp:lastModifiedBy>
  <dcterms:created xsi:type="dcterms:W3CDTF">2024-10-07T15:14:23Z</dcterms:created>
  <dcterms:modified xsi:type="dcterms:W3CDTF">2026-02-24T05:50:33Z</dcterms:modified>
</cp:coreProperties>
</file>